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" sheetId="1" state="visible" r:id="rId1"/>
    <sheet xmlns:r="http://schemas.openxmlformats.org/officeDocument/2006/relationships" name="Internal" sheetId="2" state="visible" r:id="rId2"/>
  </sheets>
  <definedNames>
    <definedName name="_xlnm.Print_Area" localSheetId="0">'Client'!$A$1:$H$129</definedName>
    <definedName name="_xlnm.Print_Area" localSheetId="1">'Internal'!$A$1:$H$141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EUR&quot;"/>
    <numFmt numFmtId="165" formatCode="-#,##0 &quot;EUR&quot;"/>
    <numFmt numFmtId="166" formatCode="#,##0 &quot;EUR/mo&quot;"/>
  </numFmts>
  <fonts count="1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E65100"/>
      <sz val="12"/>
    </font>
    <font>
      <name val="Calibri"/>
      <b val="1"/>
      <sz val="11"/>
    </font>
    <font>
      <name val="Calibri"/>
      <b val="1"/>
      <color rgb="00E65100"/>
      <sz val="11"/>
    </font>
    <font>
      <name val="Calibri"/>
      <b val="1"/>
      <sz val="12"/>
    </font>
    <font>
      <name val="Calibri"/>
      <sz val="11"/>
    </font>
    <font>
      <name val="Calibri"/>
      <b val="1"/>
      <sz val="13"/>
    </font>
    <font>
      <name val="Calibri"/>
      <i val="1"/>
      <color rgb="00666666"/>
      <sz val="11"/>
    </font>
    <font>
      <name val="Calibri"/>
      <color rgb="00666666"/>
      <sz val="10"/>
    </font>
    <font>
      <name val="Calibri"/>
      <b val="1"/>
      <color rgb="00FFFFFF"/>
      <sz val="12"/>
    </font>
    <font>
      <name val="Calibri"/>
      <color rgb="002E7D32"/>
      <sz val="11"/>
    </font>
    <font>
      <name val="Calibri"/>
      <b val="1"/>
      <color rgb="002E7D32"/>
      <sz val="12"/>
    </font>
    <font>
      <name val="Calibri"/>
      <b val="1"/>
      <color rgb="001B5E20"/>
      <sz val="13"/>
    </font>
    <font>
      <name val="Calibri"/>
      <color rgb="00999999"/>
      <sz val="11"/>
    </font>
    <font>
      <name val="Calibri"/>
      <b val="1"/>
      <color rgb="006A1B9A"/>
      <sz val="12"/>
    </font>
  </fonts>
  <fills count="8">
    <fill>
      <patternFill/>
    </fill>
    <fill>
      <patternFill patternType="gray125"/>
    </fill>
    <fill>
      <patternFill patternType="solid">
        <fgColor rgb="00FFFDE7"/>
        <bgColor rgb="00FFFDE7"/>
      </patternFill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</fills>
  <borders count="5">
    <border>
      <left/>
      <right/>
      <top/>
      <bottom/>
      <diagonal/>
    </border>
    <border>
      <left style="thin">
        <color rgb="00E65100"/>
      </left>
      <right style="thin">
        <color rgb="00E65100"/>
      </right>
      <top style="thin">
        <color rgb="00E65100"/>
      </top>
      <bottom style="thin">
        <color rgb="00E65100"/>
      </bottom>
    </border>
    <border>
      <bottom style="thin">
        <color rgb="00CCCCCC"/>
      </bottom>
    </border>
    <border>
      <top style="thin">
        <color rgb="002F5496"/>
      </top>
      <bottom style="thin">
        <color rgb="002F5496"/>
      </bottom>
    </border>
    <border>
      <top style="medium">
        <color rgb="002F5496"/>
      </top>
      <bottom style="medium">
        <color rgb="002F5496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4" fillId="2" borderId="1" applyAlignment="1" pivotButton="0" quotePrefix="0" xfId="0">
      <alignment horizontal="right"/>
    </xf>
    <xf numFmtId="9" fontId="4" fillId="2" borderId="1" applyAlignment="1" pivotButton="0" quotePrefix="0" xfId="0">
      <alignment horizontal="right"/>
    </xf>
    <xf numFmtId="1" fontId="4" fillId="2" borderId="1" applyAlignment="1" pivotButton="0" quotePrefix="0" xfId="0">
      <alignment horizontal="right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6" fillId="0" borderId="2" applyAlignment="1" pivotButton="0" quotePrefix="0" xfId="0">
      <alignment horizontal="center"/>
    </xf>
    <xf numFmtId="0" fontId="3" fillId="0" borderId="2" pivotButton="0" quotePrefix="0" xfId="0"/>
    <xf numFmtId="0" fontId="0" fillId="0" borderId="2" pivotButton="0" quotePrefix="0" xfId="0"/>
    <xf numFmtId="164" fontId="4" fillId="2" borderId="2" applyAlignment="1" pivotButton="0" quotePrefix="0" xfId="0">
      <alignment horizontal="right"/>
    </xf>
    <xf numFmtId="0" fontId="9" fillId="0" borderId="0" pivotButton="0" quotePrefix="0" xfId="0"/>
    <xf numFmtId="0" fontId="0" fillId="0" borderId="3" pivotButton="0" quotePrefix="0" xfId="0"/>
    <xf numFmtId="0" fontId="3" fillId="0" borderId="3" pivotButton="0" quotePrefix="0" xfId="0"/>
    <xf numFmtId="164" fontId="3" fillId="0" borderId="3" applyAlignment="1" pivotButton="0" quotePrefix="0" xfId="0">
      <alignment horizontal="right"/>
    </xf>
    <xf numFmtId="0" fontId="6" fillId="0" borderId="2" pivotButton="0" quotePrefix="0" xfId="0"/>
    <xf numFmtId="0" fontId="10" fillId="3" borderId="0" applyAlignment="1" pivotButton="0" quotePrefix="0" xfId="0">
      <alignment horizontal="left"/>
    </xf>
    <xf numFmtId="0" fontId="10" fillId="3" borderId="0" applyAlignment="1" pivotButton="0" quotePrefix="0" xfId="0">
      <alignment horizontal="right"/>
    </xf>
    <xf numFmtId="0" fontId="3" fillId="4" borderId="0" pivotButton="0" quotePrefix="0" xfId="0"/>
    <xf numFmtId="0" fontId="0" fillId="0" borderId="2" applyAlignment="1" pivotButton="0" quotePrefix="0" xfId="0">
      <alignment horizontal="right"/>
    </xf>
    <xf numFmtId="0" fontId="4" fillId="2" borderId="2" applyAlignment="1" pivotButton="0" quotePrefix="0" xfId="0">
      <alignment horizontal="right"/>
    </xf>
    <xf numFmtId="0" fontId="6" fillId="0" borderId="2" applyAlignment="1" pivotButton="0" quotePrefix="0" xfId="0">
      <alignment horizontal="right"/>
    </xf>
    <xf numFmtId="164" fontId="6" fillId="0" borderId="2" applyAlignment="1" pivotButton="0" quotePrefix="0" xfId="0">
      <alignment horizontal="right"/>
    </xf>
    <xf numFmtId="0" fontId="3" fillId="0" borderId="3" applyAlignment="1" pivotButton="0" quotePrefix="0" xfId="0">
      <alignment horizontal="right"/>
    </xf>
    <xf numFmtId="0" fontId="8" fillId="0" borderId="2" pivotButton="0" quotePrefix="0" xfId="0"/>
    <xf numFmtId="0" fontId="0" fillId="0" borderId="4" pivotButton="0" quotePrefix="0" xfId="0"/>
    <xf numFmtId="0" fontId="5" fillId="0" borderId="4" pivotButton="0" quotePrefix="0" xfId="0"/>
    <xf numFmtId="0" fontId="5" fillId="0" borderId="4" applyAlignment="1" pivotButton="0" quotePrefix="0" xfId="0">
      <alignment horizontal="right"/>
    </xf>
    <xf numFmtId="164" fontId="5" fillId="0" borderId="4" applyAlignment="1" pivotButton="0" quotePrefix="0" xfId="0">
      <alignment horizontal="right"/>
    </xf>
    <xf numFmtId="0" fontId="11" fillId="0" borderId="0" pivotButton="0" quotePrefix="0" xfId="0"/>
    <xf numFmtId="165" fontId="11" fillId="0" borderId="0" applyAlignment="1" pivotButton="0" quotePrefix="0" xfId="0">
      <alignment horizontal="right"/>
    </xf>
    <xf numFmtId="0" fontId="0" fillId="5" borderId="4" pivotButton="0" quotePrefix="0" xfId="0"/>
    <xf numFmtId="0" fontId="12" fillId="5" borderId="4" pivotButton="0" quotePrefix="0" xfId="0"/>
    <xf numFmtId="164" fontId="12" fillId="5" borderId="4" applyAlignment="1" pivotButton="0" quotePrefix="0" xfId="0">
      <alignment horizontal="right"/>
    </xf>
    <xf numFmtId="0" fontId="0" fillId="3" borderId="0" pivotButton="0" quotePrefix="0" xfId="0"/>
    <xf numFmtId="0" fontId="10" fillId="3" borderId="0" pivotButton="0" quotePrefix="0" xfId="0"/>
    <xf numFmtId="0" fontId="0" fillId="6" borderId="4" pivotButton="0" quotePrefix="0" xfId="0"/>
    <xf numFmtId="0" fontId="2" fillId="6" borderId="4" pivotButton="0" quotePrefix="0" xfId="0"/>
    <xf numFmtId="166" fontId="2" fillId="6" borderId="4" applyAlignment="1" pivotButton="0" quotePrefix="0" xfId="0">
      <alignment horizontal="right"/>
    </xf>
    <xf numFmtId="0" fontId="13" fillId="5" borderId="4" pivotButton="0" quotePrefix="0" xfId="0"/>
    <xf numFmtId="164" fontId="13" fillId="5" borderId="4" applyAlignment="1" pivotButton="0" quotePrefix="0" xfId="0">
      <alignment horizontal="right"/>
    </xf>
    <xf numFmtId="0" fontId="14" fillId="0" borderId="0" pivotButton="0" quotePrefix="0" xfId="0"/>
    <xf numFmtId="166" fontId="3" fillId="0" borderId="0" applyAlignment="1" pivotButton="0" quotePrefix="0" xfId="0">
      <alignment horizontal="right"/>
    </xf>
    <xf numFmtId="0" fontId="15" fillId="0" borderId="0" pivotButton="0" quotePrefix="0" xfId="0"/>
    <xf numFmtId="0" fontId="0" fillId="7" borderId="4" pivotButton="0" quotePrefix="0" xfId="0"/>
    <xf numFmtId="0" fontId="15" fillId="7" borderId="4" pivotButton="0" quotePrefix="0" xfId="0"/>
    <xf numFmtId="164" fontId="15" fillId="7" borderId="4" applyAlignment="1" pivotButton="0" quotePrefix="0" xfId="0">
      <alignment horizontal="right"/>
    </xf>
    <xf numFmtId="9" fontId="3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164" fontId="15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6" customWidth="1" min="8" max="8"/>
  </cols>
  <sheetData>
    <row r="1">
      <c r="A1" s="1" t="inlineStr">
        <is>
          <t>PLUR Enterprise — Cost Breakdown</t>
        </is>
      </c>
    </row>
    <row r="3">
      <c r="A3" s="2" t="inlineStr">
        <is>
          <t>Parameters (adjust yellow cells)</t>
        </is>
      </c>
    </row>
    <row r="4">
      <c r="B4" s="3" t="inlineStr">
        <is>
          <t>Hourly rate (EUR)</t>
        </is>
      </c>
      <c r="C4" s="4" t="n">
        <v>85</v>
      </c>
    </row>
    <row r="5">
      <c r="B5" s="3" t="inlineStr">
        <is>
          <t>Design partner discount</t>
        </is>
      </c>
      <c r="C5" s="5" t="n">
        <v>0.2</v>
      </c>
    </row>
    <row r="6">
      <c r="B6" s="3" t="inlineStr">
        <is>
          <t>Monthly support retainer (EUR)</t>
        </is>
      </c>
      <c r="C6" s="4" t="n">
        <v>2500</v>
      </c>
    </row>
    <row r="7">
      <c r="B7" s="3" t="inlineStr">
        <is>
          <t>Monthly token budget (EUR)</t>
        </is>
      </c>
      <c r="C7" s="4" t="n">
        <v>150</v>
      </c>
    </row>
    <row r="8">
      <c r="B8" s="3" t="inlineStr">
        <is>
          <t>Monthly infrastructure (EUR)</t>
        </is>
      </c>
      <c r="C8" s="4" t="n">
        <v>100</v>
      </c>
    </row>
    <row r="9">
      <c r="B9" s="3" t="inlineStr">
        <is>
          <t>Annual commitment (months)</t>
        </is>
      </c>
      <c r="C9" s="6" t="n">
        <v>12</v>
      </c>
    </row>
    <row r="11">
      <c r="A11" s="7" t="inlineStr">
        <is>
          <t>Team</t>
        </is>
      </c>
    </row>
    <row r="12">
      <c r="B12" s="3" t="inlineStr">
        <is>
          <t>Gregor</t>
        </is>
      </c>
      <c r="C12" s="8" t="inlineStr">
        <is>
          <t>Project Director, Lead Dev</t>
        </is>
      </c>
    </row>
    <row r="13">
      <c r="B13" s="3" t="inlineStr">
        <is>
          <t>Tadej</t>
        </is>
      </c>
      <c r="C13" s="8" t="inlineStr">
        <is>
          <t>CTO, Tech Lead</t>
        </is>
      </c>
    </row>
    <row r="14">
      <c r="B14" s="3" t="inlineStr">
        <is>
          <t>Marko</t>
        </is>
      </c>
      <c r="C14" s="8" t="inlineStr">
        <is>
          <t>DevOps</t>
        </is>
      </c>
    </row>
    <row r="15">
      <c r="B15" s="3" t="inlineStr">
        <is>
          <t>Crt</t>
        </is>
      </c>
      <c r="C15" s="8" t="inlineStr">
        <is>
          <t>PM, Data Scientist</t>
        </is>
      </c>
    </row>
    <row r="17">
      <c r="A17" s="9" t="inlineStr">
        <is>
          <t>1. PLATFORM SETUP (one-time)</t>
        </is>
      </c>
    </row>
    <row r="18">
      <c r="A18" s="10" t="inlineStr">
        <is>
          <t>PLUR Enterprise platform — deployed and configured for your infrastructure</t>
        </is>
      </c>
    </row>
    <row r="19">
      <c r="A19" s="11" t="n">
        <v>1</v>
      </c>
      <c r="B19" s="12" t="inlineStr">
        <is>
          <t>Quick Start — Platform Setup</t>
        </is>
      </c>
      <c r="C19" s="13" t="n"/>
      <c r="D19" s="13" t="n"/>
      <c r="E19" s="13" t="n"/>
      <c r="F19" s="13" t="n"/>
      <c r="G19" s="13" t="n"/>
      <c r="H19" s="14" t="n">
        <v>8000</v>
      </c>
    </row>
    <row r="20">
      <c r="B20" s="15" t="inlineStr">
        <is>
          <t>PLUR Enterprise server, PostgreSQL+AGE+pgvector, GitLab SSO, permissions, MCP security, deployment with TLS &amp; CI/CD</t>
        </is>
      </c>
    </row>
    <row r="21">
      <c r="A21" s="11" t="n">
        <v>2</v>
      </c>
      <c r="B21" s="12" t="inlineStr">
        <is>
          <t>Phase 1 — Platform Scale</t>
        </is>
      </c>
      <c r="C21" s="13" t="n"/>
      <c r="D21" s="13" t="n"/>
      <c r="E21" s="13" t="n"/>
      <c r="F21" s="13" t="n"/>
      <c r="G21" s="13" t="n"/>
      <c r="H21" s="14" t="n">
        <v>6000</v>
      </c>
    </row>
    <row r="22">
      <c r="B22" s="15" t="inlineStr">
        <is>
          <t>Role-level permissions, admin dashboard, structured logging &amp; audit trail, monitoring &amp; alerting, CI/CD hardening</t>
        </is>
      </c>
    </row>
    <row r="23">
      <c r="A23" s="11" t="n">
        <v>3</v>
      </c>
      <c r="B23" s="12" t="inlineStr">
        <is>
          <t>Phase 3 — Orchestration Platform</t>
        </is>
      </c>
      <c r="C23" s="13" t="n"/>
      <c r="D23" s="13" t="n"/>
      <c r="E23" s="13" t="n"/>
      <c r="F23" s="13" t="n"/>
      <c r="G23" s="13" t="n"/>
      <c r="H23" s="14" t="n">
        <v>5000</v>
      </c>
    </row>
    <row r="24">
      <c r="B24" s="15" t="inlineStr">
        <is>
          <t>Datacore Enterprise orchestration engine, GitLab CI/CD integration, execution dashboard</t>
        </is>
      </c>
    </row>
    <row r="25">
      <c r="A25" s="16" t="n"/>
      <c r="B25" s="17" t="inlineStr">
        <is>
          <t>Platform setup total</t>
        </is>
      </c>
      <c r="C25" s="16" t="n"/>
      <c r="D25" s="16" t="n"/>
      <c r="E25" s="16" t="n"/>
      <c r="F25" s="16" t="n"/>
      <c r="G25" s="16" t="n"/>
      <c r="H25" s="18">
        <f>H19+H21+H23</f>
        <v/>
      </c>
    </row>
    <row r="26">
      <c r="A26" s="13" t="n"/>
      <c r="B26" s="19" t="inlineStr">
        <is>
          <t>Add-on — GitHub Provider (when needed)</t>
        </is>
      </c>
      <c r="C26" s="13" t="n"/>
      <c r="D26" s="13" t="n"/>
      <c r="E26" s="13" t="n"/>
      <c r="F26" s="13" t="n"/>
      <c r="G26" s="13" t="n"/>
      <c r="H26" s="14" t="n">
        <v>2400</v>
      </c>
    </row>
    <row r="27">
      <c r="B27" s="15" t="inlineStr">
        <is>
          <t>GitHub SSO, OAuth, org sync, webhook handler — enables multi-provider support</t>
        </is>
      </c>
    </row>
    <row r="29">
      <c r="A29" s="9" t="inlineStr">
        <is>
          <t>2. CUSTOM SERVICES (your organization)</t>
        </is>
      </c>
    </row>
    <row r="30">
      <c r="A30" s="20" t="inlineStr">
        <is>
          <t>#</t>
        </is>
      </c>
      <c r="B30" s="20" t="inlineStr">
        <is>
          <t>Deliverable</t>
        </is>
      </c>
      <c r="C30" s="21" t="inlineStr">
        <is>
          <t>Gregor</t>
        </is>
      </c>
      <c r="D30" s="21" t="inlineStr">
        <is>
          <t>Tadej</t>
        </is>
      </c>
      <c r="E30" s="21" t="inlineStr">
        <is>
          <t>Marko</t>
        </is>
      </c>
      <c r="F30" s="21" t="inlineStr">
        <is>
          <t>Crt</t>
        </is>
      </c>
      <c r="G30" s="21" t="inlineStr">
        <is>
          <t>Total h</t>
        </is>
      </c>
      <c r="H30" s="21" t="inlineStr">
        <is>
          <t>Cost (EUR)</t>
        </is>
      </c>
    </row>
    <row r="31">
      <c r="A31" s="22" t="inlineStr">
        <is>
          <t>Quick Start — Your Environment</t>
        </is>
      </c>
    </row>
    <row r="32">
      <c r="A32" s="11" t="n">
        <v>1</v>
      </c>
      <c r="B32" s="19" t="inlineStr">
        <is>
          <t>Project kick-off, planning &amp; requirements alignment</t>
        </is>
      </c>
      <c r="C32" s="23" t="n"/>
      <c r="D32" s="23" t="n"/>
      <c r="E32" s="23" t="n"/>
      <c r="F32" s="24" t="n">
        <v>8</v>
      </c>
      <c r="G32" s="25">
        <f>SUM(C32:F32)</f>
        <v/>
      </c>
      <c r="H32" s="26">
        <f>G32*$C$4</f>
        <v/>
      </c>
    </row>
    <row r="33">
      <c r="A33" s="11" t="n">
        <v>2</v>
      </c>
      <c r="B33" s="19" t="inlineStr">
        <is>
          <t>Bootstrapping — scan 3-5 active repos, create seed engrams</t>
        </is>
      </c>
      <c r="C33" s="24" t="n">
        <v>4</v>
      </c>
      <c r="D33" s="23" t="n"/>
      <c r="E33" s="23" t="n"/>
      <c r="F33" s="24" t="n">
        <v>8</v>
      </c>
      <c r="G33" s="25">
        <f>SUM(C33:F33)</f>
        <v/>
      </c>
      <c r="H33" s="26">
        <f>G33*$C$4</f>
        <v/>
      </c>
    </row>
    <row r="34">
      <c r="A34" s="11" t="n">
        <v>3</v>
      </c>
      <c r="B34" s="19" t="inlineStr">
        <is>
          <t>Onboarding 10-15 pilot users (hands-on setup &amp; training)</t>
        </is>
      </c>
      <c r="C34" s="24" t="n">
        <v>4</v>
      </c>
      <c r="D34" s="23" t="n"/>
      <c r="E34" s="23" t="n"/>
      <c r="F34" s="24" t="n">
        <v>8</v>
      </c>
      <c r="G34" s="25">
        <f>SUM(C34:F34)</f>
        <v/>
      </c>
      <c r="H34" s="26">
        <f>G34*$C$4</f>
        <v/>
      </c>
    </row>
    <row r="35">
      <c r="A35" s="11" t="n">
        <v>4</v>
      </c>
      <c r="B35" s="19" t="inlineStr">
        <is>
          <t>Phase report &amp; deliverables review with stakeholders</t>
        </is>
      </c>
      <c r="C35" s="23" t="n"/>
      <c r="D35" s="23" t="n"/>
      <c r="E35" s="23" t="n"/>
      <c r="F35" s="24" t="n">
        <v>4</v>
      </c>
      <c r="G35" s="25">
        <f>SUM(C35:F35)</f>
        <v/>
      </c>
      <c r="H35" s="26">
        <f>G35*$C$4</f>
        <v/>
      </c>
    </row>
    <row r="36">
      <c r="A36" s="16" t="n"/>
      <c r="B36" s="17" t="inlineStr">
        <is>
          <t>Subtotal — Quick Start</t>
        </is>
      </c>
      <c r="C36" s="27">
        <f>SUM(C32:C35)</f>
        <v/>
      </c>
      <c r="D36" s="27">
        <f>SUM(D32:D35)</f>
        <v/>
      </c>
      <c r="E36" s="27">
        <f>SUM(E32:E35)</f>
        <v/>
      </c>
      <c r="F36" s="27">
        <f>SUM(F32:F35)</f>
        <v/>
      </c>
      <c r="G36" s="27">
        <f>SUM(G32:G35)</f>
        <v/>
      </c>
      <c r="H36" s="18">
        <f>SUM(H32:H35)</f>
        <v/>
      </c>
    </row>
    <row r="37">
      <c r="A37" s="13" t="n"/>
      <c r="B37" s="28" t="inlineStr">
        <is>
          <t>AI compute (tokens)</t>
        </is>
      </c>
      <c r="C37" s="13" t="n"/>
      <c r="D37" s="13" t="n"/>
      <c r="E37" s="13" t="n"/>
      <c r="F37" s="13" t="n"/>
      <c r="G37" s="13" t="n"/>
      <c r="H37" s="14" t="n">
        <v>500</v>
      </c>
    </row>
    <row r="39">
      <c r="A39" s="22" t="inlineStr">
        <is>
          <t>Phase 1 — Scale to 50 Users</t>
        </is>
      </c>
    </row>
    <row r="40">
      <c r="A40" s="11" t="n">
        <v>1</v>
      </c>
      <c r="B40" s="19" t="inlineStr">
        <is>
          <t>Phase planning &amp; milestone definition</t>
        </is>
      </c>
      <c r="C40" s="23" t="n"/>
      <c r="D40" s="23" t="n"/>
      <c r="E40" s="23" t="n"/>
      <c r="F40" s="24" t="n">
        <v>4</v>
      </c>
      <c r="G40" s="25">
        <f>SUM(C40:F40)</f>
        <v/>
      </c>
      <c r="H40" s="26">
        <f>G40*$C$4</f>
        <v/>
      </c>
    </row>
    <row r="41">
      <c r="A41" s="11" t="n">
        <v>2</v>
      </c>
      <c r="B41" s="19" t="inlineStr">
        <is>
          <t>IDE compatibility validation for your tool stack</t>
        </is>
      </c>
      <c r="C41" s="23" t="n"/>
      <c r="D41" s="24" t="n">
        <v>4</v>
      </c>
      <c r="E41" s="23" t="n"/>
      <c r="F41" s="24" t="n">
        <v>8</v>
      </c>
      <c r="G41" s="25">
        <f>SUM(C41:F41)</f>
        <v/>
      </c>
      <c r="H41" s="26">
        <f>G41*$C$4</f>
        <v/>
      </c>
    </row>
    <row r="42">
      <c r="A42" s="11" t="n">
        <v>3</v>
      </c>
      <c r="B42" s="19" t="inlineStr">
        <is>
          <t>Onboarding remaining 35-40 users</t>
        </is>
      </c>
      <c r="C42" s="23" t="n"/>
      <c r="D42" s="23" t="n"/>
      <c r="E42" s="23" t="n"/>
      <c r="F42" s="24" t="n">
        <v>12</v>
      </c>
      <c r="G42" s="25">
        <f>SUM(C42:F42)</f>
        <v/>
      </c>
      <c r="H42" s="26">
        <f>G42*$C$4</f>
        <v/>
      </c>
    </row>
    <row r="43">
      <c r="A43" s="11" t="n">
        <v>4</v>
      </c>
      <c r="B43" s="19" t="inlineStr">
        <is>
          <t>Progress tracking, weekly status updates</t>
        </is>
      </c>
      <c r="C43" s="23" t="n"/>
      <c r="D43" s="23" t="n"/>
      <c r="E43" s="23" t="n"/>
      <c r="F43" s="24" t="n">
        <v>8</v>
      </c>
      <c r="G43" s="25">
        <f>SUM(C43:F43)</f>
        <v/>
      </c>
      <c r="H43" s="26">
        <f>G43*$C$4</f>
        <v/>
      </c>
    </row>
    <row r="44">
      <c r="A44" s="11" t="n">
        <v>5</v>
      </c>
      <c r="B44" s="19" t="inlineStr">
        <is>
          <t>Phase report &amp; deliverables handover</t>
        </is>
      </c>
      <c r="C44" s="23" t="n"/>
      <c r="D44" s="23" t="n"/>
      <c r="E44" s="23" t="n"/>
      <c r="F44" s="24" t="n">
        <v>4</v>
      </c>
      <c r="G44" s="25">
        <f>SUM(C44:F44)</f>
        <v/>
      </c>
      <c r="H44" s="26">
        <f>G44*$C$4</f>
        <v/>
      </c>
    </row>
    <row r="45">
      <c r="A45" s="16" t="n"/>
      <c r="B45" s="17" t="inlineStr">
        <is>
          <t>Subtotal — Phase 1</t>
        </is>
      </c>
      <c r="C45" s="27">
        <f>SUM(C40:C44)</f>
        <v/>
      </c>
      <c r="D45" s="27">
        <f>SUM(D40:D44)</f>
        <v/>
      </c>
      <c r="E45" s="27">
        <f>SUM(E40:E44)</f>
        <v/>
      </c>
      <c r="F45" s="27">
        <f>SUM(F40:F44)</f>
        <v/>
      </c>
      <c r="G45" s="27">
        <f>SUM(G40:G44)</f>
        <v/>
      </c>
      <c r="H45" s="18">
        <f>SUM(H40:H44)</f>
        <v/>
      </c>
    </row>
    <row r="46">
      <c r="A46" s="13" t="n"/>
      <c r="B46" s="28" t="inlineStr">
        <is>
          <t>AI compute (tokens)</t>
        </is>
      </c>
      <c r="C46" s="13" t="n"/>
      <c r="D46" s="13" t="n"/>
      <c r="E46" s="13" t="n"/>
      <c r="F46" s="13" t="n"/>
      <c r="G46" s="13" t="n"/>
      <c r="H46" s="14" t="n">
        <v>400</v>
      </c>
    </row>
    <row r="48">
      <c r="A48" s="22" t="inlineStr">
        <is>
          <t>Phase 2 — Knowledge Engineering (your codebase)</t>
        </is>
      </c>
    </row>
    <row r="49">
      <c r="A49" s="11" t="n">
        <v>1</v>
      </c>
      <c r="B49" s="19" t="inlineStr">
        <is>
          <t>Phase planning &amp; extraction strategy</t>
        </is>
      </c>
      <c r="C49" s="23" t="n"/>
      <c r="D49" s="23" t="n"/>
      <c r="E49" s="23" t="n"/>
      <c r="F49" s="24" t="n">
        <v>6</v>
      </c>
      <c r="G49" s="25">
        <f>SUM(C49:F49)</f>
        <v/>
      </c>
      <c r="H49" s="26">
        <f>G49*$C$4</f>
        <v/>
      </c>
    </row>
    <row r="50">
      <c r="A50" s="11" t="n">
        <v>2</v>
      </c>
      <c r="B50" s="19" t="inlineStr">
        <is>
          <t>Scan 1,400 repos — configs, CI, linters, docs</t>
        </is>
      </c>
      <c r="C50" s="23" t="n"/>
      <c r="D50" s="23" t="n"/>
      <c r="E50" s="23" t="n"/>
      <c r="F50" s="24" t="n">
        <v>16</v>
      </c>
      <c r="G50" s="25">
        <f>SUM(C50:F50)</f>
        <v/>
      </c>
      <c r="H50" s="26">
        <f>G50*$C$4</f>
        <v/>
      </c>
    </row>
    <row r="51">
      <c r="A51" s="11" t="n">
        <v>3</v>
      </c>
      <c r="B51" s="19" t="inlineStr">
        <is>
          <t>Convention &amp; pattern extraction from your codebase</t>
        </is>
      </c>
      <c r="C51" s="23" t="n"/>
      <c r="D51" s="23" t="n"/>
      <c r="E51" s="23" t="n"/>
      <c r="F51" s="24" t="n">
        <v>20</v>
      </c>
      <c r="G51" s="25">
        <f>SUM(C51:F51)</f>
        <v/>
      </c>
      <c r="H51" s="26">
        <f>G51*$C$4</f>
        <v/>
      </c>
    </row>
    <row r="52">
      <c r="A52" s="11" t="n">
        <v>4</v>
      </c>
      <c r="B52" s="19" t="inlineStr">
        <is>
          <t>Engram generation + quality tuning (multiple passes)</t>
        </is>
      </c>
      <c r="C52" s="24" t="n">
        <v>8</v>
      </c>
      <c r="D52" s="23" t="n"/>
      <c r="E52" s="23" t="n"/>
      <c r="F52" s="24" t="n">
        <v>12</v>
      </c>
      <c r="G52" s="25">
        <f>SUM(C52:F52)</f>
        <v/>
      </c>
      <c r="H52" s="26">
        <f>G52*$C$4</f>
        <v/>
      </c>
    </row>
    <row r="53">
      <c r="A53" s="11" t="n">
        <v>5</v>
      </c>
      <c r="B53" s="19" t="inlineStr">
        <is>
          <t>Knowledge pack packaging (per-project, per-group, org-wide)</t>
        </is>
      </c>
      <c r="C53" s="23" t="n"/>
      <c r="D53" s="24" t="n">
        <v>8</v>
      </c>
      <c r="E53" s="23" t="n"/>
      <c r="F53" s="24" t="n">
        <v>8</v>
      </c>
      <c r="G53" s="25">
        <f>SUM(C53:F53)</f>
        <v/>
      </c>
      <c r="H53" s="26">
        <f>G53*$C$4</f>
        <v/>
      </c>
    </row>
    <row r="54">
      <c r="A54" s="11" t="n">
        <v>6</v>
      </c>
      <c r="B54" s="19" t="inlineStr">
        <is>
          <t>Review &amp; curation workflow with your tech leads</t>
        </is>
      </c>
      <c r="C54" s="24" t="n">
        <v>8</v>
      </c>
      <c r="D54" s="23" t="n"/>
      <c r="E54" s="23" t="n"/>
      <c r="F54" s="24" t="n">
        <v>8</v>
      </c>
      <c r="G54" s="25">
        <f>SUM(C54:F54)</f>
        <v/>
      </c>
      <c r="H54" s="26">
        <f>G54*$C$4</f>
        <v/>
      </c>
    </row>
    <row r="55">
      <c r="A55" s="11" t="n">
        <v>7</v>
      </c>
      <c r="B55" s="19" t="inlineStr">
        <is>
          <t>Quality feedback loop (your tech leads' signals tune extraction)</t>
        </is>
      </c>
      <c r="C55" s="23" t="n"/>
      <c r="D55" s="24" t="n">
        <v>4</v>
      </c>
      <c r="E55" s="23" t="n"/>
      <c r="F55" s="24" t="n">
        <v>8</v>
      </c>
      <c r="G55" s="25">
        <f>SUM(C55:F55)</f>
        <v/>
      </c>
      <c r="H55" s="26">
        <f>G55*$C$4</f>
        <v/>
      </c>
    </row>
    <row r="56">
      <c r="A56" s="11" t="n">
        <v>8</v>
      </c>
      <c r="B56" s="19" t="inlineStr">
        <is>
          <t>New project hook — auto-extraction on repo creation</t>
        </is>
      </c>
      <c r="C56" s="23" t="n"/>
      <c r="D56" s="24" t="n">
        <v>8</v>
      </c>
      <c r="E56" s="24" t="n">
        <v>8</v>
      </c>
      <c r="F56" s="23" t="n"/>
      <c r="G56" s="25">
        <f>SUM(C56:F56)</f>
        <v/>
      </c>
      <c r="H56" s="26">
        <f>G56*$C$4</f>
        <v/>
      </c>
    </row>
    <row r="57">
      <c r="A57" s="11" t="n">
        <v>9</v>
      </c>
      <c r="B57" s="19" t="inlineStr">
        <is>
          <t>Progress tracking, weekly status updates</t>
        </is>
      </c>
      <c r="C57" s="23" t="n"/>
      <c r="D57" s="23" t="n"/>
      <c r="E57" s="23" t="n"/>
      <c r="F57" s="24" t="n">
        <v>8</v>
      </c>
      <c r="G57" s="25">
        <f>SUM(C57:F57)</f>
        <v/>
      </c>
      <c r="H57" s="26">
        <f>G57*$C$4</f>
        <v/>
      </c>
    </row>
    <row r="58">
      <c r="A58" s="11" t="n">
        <v>10</v>
      </c>
      <c r="B58" s="19" t="inlineStr">
        <is>
          <t>Phase report, knowledge coverage analysis &amp; deliverables review</t>
        </is>
      </c>
      <c r="C58" s="23" t="n"/>
      <c r="D58" s="23" t="n"/>
      <c r="E58" s="23" t="n"/>
      <c r="F58" s="24" t="n">
        <v>6</v>
      </c>
      <c r="G58" s="25">
        <f>SUM(C58:F58)</f>
        <v/>
      </c>
      <c r="H58" s="26">
        <f>G58*$C$4</f>
        <v/>
      </c>
    </row>
    <row r="59">
      <c r="A59" s="16" t="n"/>
      <c r="B59" s="17" t="inlineStr">
        <is>
          <t>Subtotal — Phase 2</t>
        </is>
      </c>
      <c r="C59" s="27">
        <f>SUM(C49:C58)</f>
        <v/>
      </c>
      <c r="D59" s="27">
        <f>SUM(D49:D58)</f>
        <v/>
      </c>
      <c r="E59" s="27">
        <f>SUM(E49:E58)</f>
        <v/>
      </c>
      <c r="F59" s="27">
        <f>SUM(F49:F58)</f>
        <v/>
      </c>
      <c r="G59" s="27">
        <f>SUM(G49:G58)</f>
        <v/>
      </c>
      <c r="H59" s="18">
        <f>SUM(H49:H58)</f>
        <v/>
      </c>
    </row>
    <row r="60">
      <c r="A60" s="13" t="n"/>
      <c r="B60" s="28" t="inlineStr">
        <is>
          <t>AI compute (tokens)</t>
        </is>
      </c>
      <c r="C60" s="13" t="n"/>
      <c r="D60" s="13" t="n"/>
      <c r="E60" s="13" t="n"/>
      <c r="F60" s="13" t="n"/>
      <c r="G60" s="13" t="n"/>
      <c r="H60" s="14" t="n">
        <v>580</v>
      </c>
    </row>
    <row r="62">
      <c r="A62" s="22" t="inlineStr">
        <is>
          <t>Phase 3 — AI Development Team (your org)</t>
        </is>
      </c>
    </row>
    <row r="63">
      <c r="A63" s="11" t="n">
        <v>1</v>
      </c>
      <c r="B63" s="19" t="inlineStr">
        <is>
          <t>Phase planning &amp; workflow discovery with your team</t>
        </is>
      </c>
      <c r="C63" s="24" t="n">
        <v>4</v>
      </c>
      <c r="D63" s="23" t="n"/>
      <c r="E63" s="23" t="n"/>
      <c r="F63" s="24" t="n">
        <v>8</v>
      </c>
      <c r="G63" s="25">
        <f>SUM(C63:F63)</f>
        <v/>
      </c>
      <c r="H63" s="26">
        <f>G63*$C$4</f>
        <v/>
      </c>
    </row>
    <row r="64">
      <c r="A64" s="11" t="n">
        <v>2</v>
      </c>
      <c r="B64" s="19" t="inlineStr">
        <is>
          <t>AI Chief of Staff — configured for your org structure</t>
        </is>
      </c>
      <c r="C64" s="24" t="n">
        <v>8</v>
      </c>
      <c r="D64" s="24" t="n">
        <v>16</v>
      </c>
      <c r="E64" s="23" t="n"/>
      <c r="F64" s="24" t="n">
        <v>4</v>
      </c>
      <c r="G64" s="25">
        <f>SUM(C64:F64)</f>
        <v/>
      </c>
      <c r="H64" s="26">
        <f>G64*$C$4</f>
        <v/>
      </c>
    </row>
    <row r="65">
      <c r="A65" s="11" t="n">
        <v>3</v>
      </c>
      <c r="B65" s="19" t="inlineStr">
        <is>
          <t>Insight Agent — tuned to your knowledge graph</t>
        </is>
      </c>
      <c r="C65" s="24" t="n">
        <v>8</v>
      </c>
      <c r="D65" s="24" t="n">
        <v>12</v>
      </c>
      <c r="E65" s="23" t="n"/>
      <c r="F65" s="24" t="n">
        <v>8</v>
      </c>
      <c r="G65" s="25">
        <f>SUM(C65:F65)</f>
        <v/>
      </c>
      <c r="H65" s="26">
        <f>G65*$C$4</f>
        <v/>
      </c>
    </row>
    <row r="66">
      <c r="A66" s="11" t="n">
        <v>4</v>
      </c>
      <c r="B66" s="19" t="inlineStr">
        <is>
          <t>Onboarding Companion — built from your conventions</t>
        </is>
      </c>
      <c r="C66" s="24" t="n">
        <v>4</v>
      </c>
      <c r="D66" s="24" t="n">
        <v>12</v>
      </c>
      <c r="E66" s="23" t="n"/>
      <c r="F66" s="24" t="n">
        <v>8</v>
      </c>
      <c r="G66" s="25">
        <f>SUM(C66:F66)</f>
        <v/>
      </c>
      <c r="H66" s="26">
        <f>G66*$C$4</f>
        <v/>
      </c>
    </row>
    <row r="67">
      <c r="A67" s="11" t="n">
        <v>5</v>
      </c>
      <c r="B67" s="19" t="inlineStr">
        <is>
          <t>Agent testing &amp; validation with your team</t>
        </is>
      </c>
      <c r="C67" s="23" t="n"/>
      <c r="D67" s="23" t="n"/>
      <c r="E67" s="23" t="n"/>
      <c r="F67" s="24" t="n">
        <v>8</v>
      </c>
      <c r="G67" s="25">
        <f>SUM(C67:F67)</f>
        <v/>
      </c>
      <c r="H67" s="26">
        <f>G67*$C$4</f>
        <v/>
      </c>
    </row>
    <row r="68">
      <c r="A68" s="11" t="n">
        <v>6</v>
      </c>
      <c r="B68" s="19" t="inlineStr">
        <is>
          <t>Progress tracking, weekly status updates</t>
        </is>
      </c>
      <c r="C68" s="23" t="n"/>
      <c r="D68" s="23" t="n"/>
      <c r="E68" s="23" t="n"/>
      <c r="F68" s="24" t="n">
        <v>8</v>
      </c>
      <c r="G68" s="25">
        <f>SUM(C68:F68)</f>
        <v/>
      </c>
      <c r="H68" s="26">
        <f>G68*$C$4</f>
        <v/>
      </c>
    </row>
    <row r="69">
      <c r="A69" s="11" t="n">
        <v>7</v>
      </c>
      <c r="B69" s="19" t="inlineStr">
        <is>
          <t>Final report, outcomes documentation &amp; handover</t>
        </is>
      </c>
      <c r="C69" s="23" t="n"/>
      <c r="D69" s="23" t="n"/>
      <c r="E69" s="23" t="n"/>
      <c r="F69" s="24" t="n">
        <v>6</v>
      </c>
      <c r="G69" s="25">
        <f>SUM(C69:F69)</f>
        <v/>
      </c>
      <c r="H69" s="26">
        <f>G69*$C$4</f>
        <v/>
      </c>
    </row>
    <row r="70">
      <c r="A70" s="16" t="n"/>
      <c r="B70" s="17" t="inlineStr">
        <is>
          <t>Subtotal — Phase 3</t>
        </is>
      </c>
      <c r="C70" s="27">
        <f>SUM(C63:C69)</f>
        <v/>
      </c>
      <c r="D70" s="27">
        <f>SUM(D63:D69)</f>
        <v/>
      </c>
      <c r="E70" s="27">
        <f>SUM(E63:E69)</f>
        <v/>
      </c>
      <c r="F70" s="27">
        <f>SUM(F63:F69)</f>
        <v/>
      </c>
      <c r="G70" s="27">
        <f>SUM(G63:G69)</f>
        <v/>
      </c>
      <c r="H70" s="18">
        <f>SUM(H63:H69)</f>
        <v/>
      </c>
    </row>
    <row r="71">
      <c r="A71" s="13" t="n"/>
      <c r="B71" s="28" t="inlineStr">
        <is>
          <t>AI compute (tokens)</t>
        </is>
      </c>
      <c r="C71" s="13" t="n"/>
      <c r="D71" s="13" t="n"/>
      <c r="E71" s="13" t="n"/>
      <c r="F71" s="13" t="n"/>
      <c r="G71" s="13" t="n"/>
      <c r="H71" s="14" t="n">
        <v>870</v>
      </c>
    </row>
    <row r="73">
      <c r="A73" s="29" t="n"/>
      <c r="B73" s="30" t="inlineStr">
        <is>
          <t>CUSTOM SERVICES TOTAL</t>
        </is>
      </c>
      <c r="C73" s="29" t="n"/>
      <c r="D73" s="29" t="n"/>
      <c r="E73" s="29" t="n"/>
      <c r="F73" s="29" t="n"/>
      <c r="G73" s="31">
        <f>G36+G45+G59+G70</f>
        <v/>
      </c>
      <c r="H73" s="32">
        <f>H36+H37+H45+H46+H59+H60+H70+H71</f>
        <v/>
      </c>
    </row>
    <row r="75">
      <c r="A75" s="29" t="n"/>
      <c r="B75" s="30" t="inlineStr">
        <is>
          <t>PROJECT TOTAL (platform + custom)</t>
        </is>
      </c>
      <c r="C75" s="29" t="n"/>
      <c r="D75" s="29" t="n"/>
      <c r="E75" s="29" t="n"/>
      <c r="F75" s="29" t="n"/>
      <c r="G75" s="29" t="n"/>
      <c r="H75" s="32">
        <f>H25+H73</f>
        <v/>
      </c>
    </row>
    <row r="76">
      <c r="B76" s="33" t="inlineStr">
        <is>
          <t>Design partner discount</t>
        </is>
      </c>
      <c r="H76" s="34">
        <f>-H75*$C$5</f>
        <v/>
      </c>
    </row>
    <row r="77">
      <c r="A77" s="35" t="n"/>
      <c r="B77" s="36" t="inlineStr">
        <is>
          <t>PROJECT TOTAL (design partner price)</t>
        </is>
      </c>
      <c r="C77" s="35" t="n"/>
      <c r="D77" s="35" t="n"/>
      <c r="E77" s="35" t="n"/>
      <c r="F77" s="35" t="n"/>
      <c r="G77" s="35" t="n"/>
      <c r="H77" s="37">
        <f>H75+H76</f>
        <v/>
      </c>
    </row>
    <row r="80">
      <c r="A80" s="9" t="inlineStr">
        <is>
          <t>3. MONTHLY SUPPORT &amp; MAINTENANCE</t>
        </is>
      </c>
    </row>
    <row r="81">
      <c r="A81" s="38" t="n"/>
      <c r="B81" s="39" t="inlineStr">
        <is>
          <t>Included in monthly retainer</t>
        </is>
      </c>
      <c r="C81" s="38" t="n"/>
      <c r="D81" s="38" t="n"/>
      <c r="E81" s="38" t="n"/>
      <c r="F81" s="38" t="n"/>
      <c r="G81" s="38" t="n"/>
      <c r="H81" s="21" t="inlineStr">
        <is>
          <t>Monthly</t>
        </is>
      </c>
    </row>
    <row r="82">
      <c r="A82" s="11" t="n">
        <v>1</v>
      </c>
      <c r="B82" s="19" t="inlineStr">
        <is>
          <t>Security patches, dependency updates &amp; PLUR core upgrades</t>
        </is>
      </c>
      <c r="C82" s="13" t="n"/>
      <c r="D82" s="13" t="n"/>
      <c r="E82" s="13" t="n"/>
      <c r="F82" s="13" t="n"/>
      <c r="G82" s="13" t="n"/>
      <c r="H82" s="13" t="n"/>
    </row>
    <row r="83">
      <c r="A83" s="11" t="n">
        <v>2</v>
      </c>
      <c r="B83" s="19" t="inlineStr">
        <is>
          <t>Infrastructure monitoring, uptime SLA (99.5%), incident response</t>
        </is>
      </c>
      <c r="C83" s="13" t="n"/>
      <c r="D83" s="13" t="n"/>
      <c r="E83" s="13" t="n"/>
      <c r="F83" s="13" t="n"/>
      <c r="G83" s="13" t="n"/>
      <c r="H83" s="13" t="n"/>
    </row>
    <row r="84">
      <c r="A84" s="11" t="n">
        <v>3</v>
      </c>
      <c r="B84" s="19" t="inlineStr">
        <is>
          <t>Knowledge pipeline tuning (extraction quality, pack curation)</t>
        </is>
      </c>
      <c r="C84" s="13" t="n"/>
      <c r="D84" s="13" t="n"/>
      <c r="E84" s="13" t="n"/>
      <c r="F84" s="13" t="n"/>
      <c r="G84" s="13" t="n"/>
      <c r="H84" s="13" t="n"/>
    </row>
    <row r="85">
      <c r="A85" s="11" t="n">
        <v>4</v>
      </c>
      <c r="B85" s="19" t="inlineStr">
        <is>
          <t>New user onboarding (team growth, offboarding cleanup)</t>
        </is>
      </c>
      <c r="C85" s="13" t="n"/>
      <c r="D85" s="13" t="n"/>
      <c r="E85" s="13" t="n"/>
      <c r="F85" s="13" t="n"/>
      <c r="G85" s="13" t="n"/>
      <c r="H85" s="13" t="n"/>
    </row>
    <row r="86">
      <c r="A86" s="11" t="n">
        <v>5</v>
      </c>
      <c r="B86" s="19" t="inlineStr">
        <is>
          <t>Priority bug fixes (&lt; 24h response, &lt; 72h resolution)</t>
        </is>
      </c>
      <c r="C86" s="13" t="n"/>
      <c r="D86" s="13" t="n"/>
      <c r="E86" s="13" t="n"/>
      <c r="F86" s="13" t="n"/>
      <c r="G86" s="13" t="n"/>
      <c r="H86" s="13" t="n"/>
    </row>
    <row r="87">
      <c r="A87" s="11" t="n">
        <v>6</v>
      </c>
      <c r="B87" s="19" t="inlineStr">
        <is>
          <t>Platform evolution (new MCP clients, IDE support, model changes)</t>
        </is>
      </c>
      <c r="C87" s="13" t="n"/>
      <c r="D87" s="13" t="n"/>
      <c r="E87" s="13" t="n"/>
      <c r="F87" s="13" t="n"/>
      <c r="G87" s="13" t="n"/>
      <c r="H87" s="13" t="n"/>
    </row>
    <row r="88">
      <c r="A88" s="11" t="n">
        <v>7</v>
      </c>
      <c r="B88" s="19" t="inlineStr">
        <is>
          <t>AI compute (token budget for agents, extraction, orchestration)</t>
        </is>
      </c>
      <c r="C88" s="13" t="n"/>
      <c r="D88" s="13" t="n"/>
      <c r="E88" s="13" t="n"/>
      <c r="F88" s="13" t="n"/>
      <c r="G88" s="13" t="n"/>
      <c r="H88" s="13" t="n"/>
    </row>
    <row r="89">
      <c r="A89" s="11" t="n">
        <v>8</v>
      </c>
      <c r="B89" s="19" t="inlineStr">
        <is>
          <t>Quarterly review &amp; optimization session</t>
        </is>
      </c>
      <c r="C89" s="13" t="n"/>
      <c r="D89" s="13" t="n"/>
      <c r="E89" s="13" t="n"/>
      <c r="F89" s="13" t="n"/>
      <c r="G89" s="13" t="n"/>
      <c r="H89" s="13" t="n"/>
    </row>
    <row r="91">
      <c r="A91" s="40" t="n"/>
      <c r="B91" s="41" t="inlineStr">
        <is>
          <t>MONTHLY RETAINER (50 users)</t>
        </is>
      </c>
      <c r="C91" s="40" t="n"/>
      <c r="D91" s="40" t="n"/>
      <c r="E91" s="40" t="n"/>
      <c r="F91" s="40" t="n"/>
      <c r="G91" s="40" t="n"/>
      <c r="H91" s="42">
        <f>$C$6+$C$7</f>
        <v/>
      </c>
    </row>
    <row r="94">
      <c r="A94" s="9" t="inlineStr">
        <is>
          <t>ANNUAL COMMITMENT (12 months)</t>
        </is>
      </c>
    </row>
    <row r="95">
      <c r="A95" s="13" t="n"/>
      <c r="B95" s="19" t="inlineStr">
        <is>
          <t>Platform setup (one-time)</t>
        </is>
      </c>
      <c r="C95" s="13" t="n"/>
      <c r="D95" s="13" t="n"/>
      <c r="E95" s="13" t="n"/>
      <c r="F95" s="13" t="n"/>
      <c r="G95" s="13" t="n"/>
      <c r="H95" s="26">
        <f>H25</f>
        <v/>
      </c>
    </row>
    <row r="96">
      <c r="A96" s="13" t="n"/>
      <c r="B96" s="19" t="inlineStr">
        <is>
          <t>Custom services (one-time)</t>
        </is>
      </c>
      <c r="C96" s="13" t="n"/>
      <c r="D96" s="13" t="n"/>
      <c r="E96" s="13" t="n"/>
      <c r="F96" s="13" t="n"/>
      <c r="G96" s="13" t="n"/>
      <c r="H96" s="26">
        <f>H73</f>
        <v/>
      </c>
    </row>
    <row r="97">
      <c r="A97" s="13" t="n"/>
      <c r="B97" s="19" t="inlineStr">
        <is>
          <t>Design partner discount</t>
        </is>
      </c>
      <c r="C97" s="13" t="n"/>
      <c r="D97" s="13" t="n"/>
      <c r="E97" s="13" t="n"/>
      <c r="F97" s="13" t="n"/>
      <c r="G97" s="13" t="n"/>
      <c r="H97" s="26">
        <f>H76</f>
        <v/>
      </c>
    </row>
    <row r="98">
      <c r="A98" s="13" t="n"/>
      <c r="B98" s="19" t="inlineStr">
        <is>
          <t>Support &amp; maintenance (12 months)</t>
        </is>
      </c>
      <c r="C98" s="13" t="n"/>
      <c r="D98" s="13" t="n"/>
      <c r="E98" s="13" t="n"/>
      <c r="F98" s="13" t="n"/>
      <c r="G98" s="13" t="n"/>
      <c r="H98" s="26">
        <f>H91*$C$9</f>
        <v/>
      </c>
    </row>
    <row r="99">
      <c r="A99" s="13" t="n"/>
      <c r="B99" s="19" t="inlineStr">
        <is>
          <t>Infrastructure (at cost)</t>
        </is>
      </c>
      <c r="C99" s="13" t="n"/>
      <c r="D99" s="13" t="n"/>
      <c r="E99" s="13" t="n"/>
      <c r="F99" s="13" t="n"/>
      <c r="G99" s="13" t="n"/>
      <c r="H99" s="26">
        <f>$C$8*$C$9</f>
        <v/>
      </c>
    </row>
    <row r="100">
      <c r="A100" s="35" t="n"/>
      <c r="B100" s="43" t="inlineStr">
        <is>
          <t>ANNUAL COMMITMENT TOTAL</t>
        </is>
      </c>
      <c r="C100" s="35" t="n"/>
      <c r="D100" s="35" t="n"/>
      <c r="E100" s="35" t="n"/>
      <c r="F100" s="35" t="n"/>
      <c r="G100" s="35" t="n"/>
      <c r="H100" s="44">
        <f>H95+H96+H97+H98+H99</f>
        <v/>
      </c>
    </row>
    <row r="101">
      <c r="B101" s="45" t="inlineStr">
        <is>
          <t>Monthly equivalent</t>
        </is>
      </c>
      <c r="H101" s="46">
        <f>H100/$C$9</f>
        <v/>
      </c>
    </row>
    <row r="104">
      <c r="A104" s="7" t="inlineStr">
        <is>
          <t>Payment Schedule</t>
        </is>
      </c>
    </row>
    <row r="105">
      <c r="A105" s="13" t="n"/>
      <c r="B105" s="19" t="inlineStr">
        <is>
          <t>Quick Start (platform + custom)</t>
        </is>
      </c>
      <c r="C105" s="19" t="inlineStr">
        <is>
          <t>Weeks 1-3</t>
        </is>
      </c>
      <c r="D105" s="13" t="n"/>
      <c r="E105" s="13" t="n"/>
      <c r="F105" s="13" t="n"/>
      <c r="G105" s="13" t="n"/>
      <c r="H105" s="13" t="n"/>
    </row>
    <row r="106">
      <c r="A106" s="13" t="n"/>
      <c r="B106" s="19" t="inlineStr">
        <is>
          <t>Phase 1 — Scale to 50</t>
        </is>
      </c>
      <c r="C106" s="19" t="inlineStr">
        <is>
          <t>Months 1-3</t>
        </is>
      </c>
      <c r="D106" s="13" t="n"/>
      <c r="E106" s="13" t="n"/>
      <c r="F106" s="13" t="n"/>
      <c r="G106" s="13" t="n"/>
      <c r="H106" s="13" t="n"/>
    </row>
    <row r="107">
      <c r="A107" s="13" t="n"/>
      <c r="B107" s="19" t="inlineStr">
        <is>
          <t>Phase 2 — Knowledge Engineering</t>
        </is>
      </c>
      <c r="C107" s="19" t="inlineStr">
        <is>
          <t>Months 3-5</t>
        </is>
      </c>
      <c r="D107" s="13" t="n"/>
      <c r="E107" s="13" t="n"/>
      <c r="F107" s="13" t="n"/>
      <c r="G107" s="13" t="n"/>
      <c r="H107" s="13" t="n"/>
    </row>
    <row r="108">
      <c r="A108" s="13" t="n"/>
      <c r="B108" s="19" t="inlineStr">
        <is>
          <t>Phase 3 — AI Development Team</t>
        </is>
      </c>
      <c r="C108" s="19" t="inlineStr">
        <is>
          <t>Months 5-7</t>
        </is>
      </c>
      <c r="D108" s="13" t="n"/>
      <c r="E108" s="13" t="n"/>
      <c r="F108" s="13" t="n"/>
      <c r="G108" s="13" t="n"/>
      <c r="H108" s="13" t="n"/>
    </row>
    <row r="109">
      <c r="A109" s="13" t="n"/>
      <c r="B109" s="19" t="inlineStr">
        <is>
          <t>Monthly support (12-month commitment)</t>
        </is>
      </c>
      <c r="C109" s="19" t="inlineStr">
        <is>
          <t>Ongoing</t>
        </is>
      </c>
      <c r="D109" s="13" t="n"/>
      <c r="E109" s="13" t="n"/>
      <c r="F109" s="13" t="n"/>
      <c r="G109" s="13" t="n"/>
      <c r="H109" s="13" t="n"/>
    </row>
    <row r="112">
      <c r="A112" s="7" t="inlineStr">
        <is>
          <t>Design Partner Benefits</t>
        </is>
      </c>
    </row>
    <row r="113">
      <c r="B113" s="8" t="inlineStr">
        <is>
          <t xml:space="preserve">  Influence on product roadmap — your requirements built first</t>
        </is>
      </c>
    </row>
    <row r="114">
      <c r="B114" s="8" t="inlineStr">
        <is>
          <t xml:space="preserve">  White-label &amp; reseller rights (future phase, pre-negotiated)</t>
        </is>
      </c>
    </row>
    <row r="115">
      <c r="B115" s="8" t="inlineStr">
        <is>
          <t xml:space="preserve">  Case study &amp; reference customer agreement</t>
        </is>
      </c>
    </row>
    <row r="116">
      <c r="B116" s="8" t="inlineStr">
        <is>
          <t xml:space="preserve">  Priority support with dedicated team</t>
        </is>
      </c>
    </row>
    <row r="117">
      <c r="B117" s="8" t="inlineStr">
        <is>
          <t xml:space="preserve">  Quarterly product review &amp; roadmap alignment sessions</t>
        </is>
      </c>
    </row>
    <row r="120">
      <c r="A120" s="7" t="inlineStr">
        <is>
          <t>Notes</t>
        </is>
      </c>
    </row>
    <row r="121">
      <c r="B121" s="15" t="inlineStr">
        <is>
          <t xml:space="preserve">  All prices exclude VAT.</t>
        </is>
      </c>
    </row>
    <row r="122">
      <c r="B122" s="15" t="inlineStr">
        <is>
          <t xml:space="preserve">  Platform fees are flat — one-time setup, not hourly.</t>
        </is>
      </c>
    </row>
    <row r="123">
      <c r="B123" s="15" t="inlineStr">
        <is>
          <t xml:space="preserve">  Custom services invoiced on actuals with weekly reporting.</t>
        </is>
      </c>
    </row>
    <row r="124">
      <c r="B124" s="15" t="inlineStr">
        <is>
          <t xml:space="preserve">  12-month support commitment — retainer locked for the full year.</t>
        </is>
      </c>
    </row>
    <row r="125">
      <c r="B125" s="15" t="inlineStr">
        <is>
          <t xml:space="preserve">  Infrastructure (hosting, database) billed at cost.</t>
        </is>
      </c>
    </row>
    <row r="126">
      <c r="B126" s="15" t="inlineStr">
        <is>
          <t xml:space="preserve">  Support covers up to 50 users. Additional users: 30 EUR/user/month.</t>
        </is>
      </c>
    </row>
    <row r="127">
      <c r="B127" s="15" t="inlineStr">
        <is>
          <t xml:space="preserve">  We use Claude Code and AI-assisted development — this is how we deliver fast.</t>
        </is>
      </c>
    </row>
    <row r="128">
      <c r="B128" s="15" t="inlineStr">
        <is>
          <t xml:space="preserve">  Yellow cells are adjustable — all totals recalculate automatically.</t>
        </is>
      </c>
    </row>
  </sheetData>
  <mergeCells count="40">
    <mergeCell ref="A48:H48"/>
    <mergeCell ref="A39:H39"/>
    <mergeCell ref="B127:H127"/>
    <mergeCell ref="C106:F106"/>
    <mergeCell ref="B24:H24"/>
    <mergeCell ref="A11:H11"/>
    <mergeCell ref="A1:H1"/>
    <mergeCell ref="C12:H12"/>
    <mergeCell ref="A94:H94"/>
    <mergeCell ref="B124:H124"/>
    <mergeCell ref="B20:H20"/>
    <mergeCell ref="B21:F21"/>
    <mergeCell ref="B123:H123"/>
    <mergeCell ref="B126:H126"/>
    <mergeCell ref="B23:F23"/>
    <mergeCell ref="C108:F108"/>
    <mergeCell ref="B125:H125"/>
    <mergeCell ref="A80:H80"/>
    <mergeCell ref="C107:F107"/>
    <mergeCell ref="A120:H120"/>
    <mergeCell ref="B121:H121"/>
    <mergeCell ref="B122:H122"/>
    <mergeCell ref="B22:H22"/>
    <mergeCell ref="A3:H3"/>
    <mergeCell ref="B27:H27"/>
    <mergeCell ref="C13:H13"/>
    <mergeCell ref="A104:H104"/>
    <mergeCell ref="B19:F19"/>
    <mergeCell ref="C109:F109"/>
    <mergeCell ref="A17:H17"/>
    <mergeCell ref="C15:H15"/>
    <mergeCell ref="A62:H62"/>
    <mergeCell ref="A18:G18"/>
    <mergeCell ref="C14:H14"/>
    <mergeCell ref="A29:H29"/>
    <mergeCell ref="C105:F105"/>
    <mergeCell ref="A31:H31"/>
    <mergeCell ref="A112:H112"/>
    <mergeCell ref="B26:F26"/>
    <mergeCell ref="B128:H1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6" customWidth="1" min="8" max="8"/>
  </cols>
  <sheetData>
    <row r="1">
      <c r="A1" s="1" t="inlineStr">
        <is>
          <t>PLUR Enterprise — Cost Breakdown (INTERNAL)</t>
        </is>
      </c>
    </row>
    <row r="3">
      <c r="A3" s="2" t="inlineStr">
        <is>
          <t>Parameters (adjust yellow cells)</t>
        </is>
      </c>
    </row>
    <row r="4">
      <c r="B4" s="3" t="inlineStr">
        <is>
          <t>Hourly rate (EUR)</t>
        </is>
      </c>
      <c r="C4" s="4" t="n">
        <v>85</v>
      </c>
    </row>
    <row r="5">
      <c r="B5" s="3" t="inlineStr">
        <is>
          <t>Design partner discount</t>
        </is>
      </c>
      <c r="C5" s="5" t="n">
        <v>0.2</v>
      </c>
    </row>
    <row r="6">
      <c r="B6" s="3" t="inlineStr">
        <is>
          <t>Monthly support retainer (EUR)</t>
        </is>
      </c>
      <c r="C6" s="4" t="n">
        <v>2500</v>
      </c>
    </row>
    <row r="7">
      <c r="B7" s="3" t="inlineStr">
        <is>
          <t>Monthly token budget (EUR)</t>
        </is>
      </c>
      <c r="C7" s="4" t="n">
        <v>150</v>
      </c>
    </row>
    <row r="8">
      <c r="B8" s="3" t="inlineStr">
        <is>
          <t>Monthly infrastructure (EUR)</t>
        </is>
      </c>
      <c r="C8" s="4" t="n">
        <v>100</v>
      </c>
    </row>
    <row r="9">
      <c r="B9" s="3" t="inlineStr">
        <is>
          <t>Annual commitment (months)</t>
        </is>
      </c>
      <c r="C9" s="6" t="n">
        <v>12</v>
      </c>
    </row>
    <row r="10">
      <c r="B10" s="3" t="inlineStr">
        <is>
          <t>Internal team rate (EUR)</t>
        </is>
      </c>
      <c r="C10" s="4" t="n">
        <v>60</v>
      </c>
    </row>
    <row r="12">
      <c r="A12" s="7" t="inlineStr">
        <is>
          <t>Team</t>
        </is>
      </c>
    </row>
    <row r="13">
      <c r="B13" s="3" t="inlineStr">
        <is>
          <t>Gregor</t>
        </is>
      </c>
      <c r="C13" s="8" t="inlineStr">
        <is>
          <t>Project Director, Lead Dev</t>
        </is>
      </c>
    </row>
    <row r="14">
      <c r="B14" s="3" t="inlineStr">
        <is>
          <t>Tadej</t>
        </is>
      </c>
      <c r="C14" s="8" t="inlineStr">
        <is>
          <t>CTO, Tech Lead</t>
        </is>
      </c>
    </row>
    <row r="15">
      <c r="B15" s="3" t="inlineStr">
        <is>
          <t>Marko</t>
        </is>
      </c>
      <c r="C15" s="8" t="inlineStr">
        <is>
          <t>DevOps</t>
        </is>
      </c>
    </row>
    <row r="16">
      <c r="B16" s="3" t="inlineStr">
        <is>
          <t>Crt</t>
        </is>
      </c>
      <c r="C16" s="8" t="inlineStr">
        <is>
          <t>PM, Data Scientist</t>
        </is>
      </c>
    </row>
    <row r="18">
      <c r="A18" s="9" t="inlineStr">
        <is>
          <t>1. PLATFORM SETUP (one-time)</t>
        </is>
      </c>
    </row>
    <row r="19">
      <c r="A19" s="10" t="inlineStr">
        <is>
          <t>PLUR Enterprise platform — deployed and configured for your infrastructure</t>
        </is>
      </c>
    </row>
    <row r="20">
      <c r="A20" s="11" t="n">
        <v>1</v>
      </c>
      <c r="B20" s="12" t="inlineStr">
        <is>
          <t>Quick Start — Platform Setup</t>
        </is>
      </c>
      <c r="C20" s="13" t="n"/>
      <c r="D20" s="13" t="n"/>
      <c r="E20" s="13" t="n"/>
      <c r="F20" s="13" t="n"/>
      <c r="G20" s="13" t="n"/>
      <c r="H20" s="14" t="n">
        <v>8000</v>
      </c>
    </row>
    <row r="21">
      <c r="B21" s="15" t="inlineStr">
        <is>
          <t>PLUR Enterprise server, PostgreSQL+AGE+pgvector, GitLab SSO, permissions, MCP security, deployment with TLS &amp; CI/CD</t>
        </is>
      </c>
    </row>
    <row r="22">
      <c r="A22" s="11" t="n">
        <v>2</v>
      </c>
      <c r="B22" s="12" t="inlineStr">
        <is>
          <t>Phase 1 — Platform Scale</t>
        </is>
      </c>
      <c r="C22" s="13" t="n"/>
      <c r="D22" s="13" t="n"/>
      <c r="E22" s="13" t="n"/>
      <c r="F22" s="13" t="n"/>
      <c r="G22" s="13" t="n"/>
      <c r="H22" s="14" t="n">
        <v>6000</v>
      </c>
    </row>
    <row r="23">
      <c r="B23" s="15" t="inlineStr">
        <is>
          <t>Role-level permissions, admin dashboard, structured logging &amp; audit trail, monitoring &amp; alerting, CI/CD hardening</t>
        </is>
      </c>
    </row>
    <row r="24">
      <c r="A24" s="11" t="n">
        <v>3</v>
      </c>
      <c r="B24" s="12" t="inlineStr">
        <is>
          <t>Phase 3 — Orchestration Platform</t>
        </is>
      </c>
      <c r="C24" s="13" t="n"/>
      <c r="D24" s="13" t="n"/>
      <c r="E24" s="13" t="n"/>
      <c r="F24" s="13" t="n"/>
      <c r="G24" s="13" t="n"/>
      <c r="H24" s="14" t="n">
        <v>5000</v>
      </c>
    </row>
    <row r="25">
      <c r="B25" s="15" t="inlineStr">
        <is>
          <t>Datacore Enterprise orchestration engine, GitLab CI/CD integration, execution dashboard</t>
        </is>
      </c>
    </row>
    <row r="26">
      <c r="A26" s="16" t="n"/>
      <c r="B26" s="17" t="inlineStr">
        <is>
          <t>Platform setup total</t>
        </is>
      </c>
      <c r="C26" s="16" t="n"/>
      <c r="D26" s="16" t="n"/>
      <c r="E26" s="16" t="n"/>
      <c r="F26" s="16" t="n"/>
      <c r="G26" s="16" t="n"/>
      <c r="H26" s="18">
        <f>H20+H22+H24</f>
        <v/>
      </c>
    </row>
    <row r="27">
      <c r="A27" s="13" t="n"/>
      <c r="B27" s="19" t="inlineStr">
        <is>
          <t>Add-on — GitHub Provider (when needed)</t>
        </is>
      </c>
      <c r="C27" s="13" t="n"/>
      <c r="D27" s="13" t="n"/>
      <c r="E27" s="13" t="n"/>
      <c r="F27" s="13" t="n"/>
      <c r="G27" s="13" t="n"/>
      <c r="H27" s="14" t="n">
        <v>2400</v>
      </c>
    </row>
    <row r="28">
      <c r="B28" s="15" t="inlineStr">
        <is>
          <t>GitHub SSO, OAuth, org sync, webhook handler — enables multi-provider support</t>
        </is>
      </c>
    </row>
    <row r="30">
      <c r="A30" s="9" t="inlineStr">
        <is>
          <t>2. CUSTOM SERVICES (your organization)</t>
        </is>
      </c>
    </row>
    <row r="31">
      <c r="A31" s="20" t="inlineStr">
        <is>
          <t>#</t>
        </is>
      </c>
      <c r="B31" s="20" t="inlineStr">
        <is>
          <t>Deliverable</t>
        </is>
      </c>
      <c r="C31" s="21" t="inlineStr">
        <is>
          <t>Gregor</t>
        </is>
      </c>
      <c r="D31" s="21" t="inlineStr">
        <is>
          <t>Tadej</t>
        </is>
      </c>
      <c r="E31" s="21" t="inlineStr">
        <is>
          <t>Marko</t>
        </is>
      </c>
      <c r="F31" s="21" t="inlineStr">
        <is>
          <t>Crt</t>
        </is>
      </c>
      <c r="G31" s="21" t="inlineStr">
        <is>
          <t>Total h</t>
        </is>
      </c>
      <c r="H31" s="21" t="inlineStr">
        <is>
          <t>Cost (EUR)</t>
        </is>
      </c>
    </row>
    <row r="32">
      <c r="A32" s="22" t="inlineStr">
        <is>
          <t>Quick Start — Your Environment</t>
        </is>
      </c>
    </row>
    <row r="33">
      <c r="A33" s="11" t="n">
        <v>1</v>
      </c>
      <c r="B33" s="19" t="inlineStr">
        <is>
          <t>Project kick-off, planning &amp; requirements alignment</t>
        </is>
      </c>
      <c r="C33" s="23" t="n"/>
      <c r="D33" s="23" t="n"/>
      <c r="E33" s="23" t="n"/>
      <c r="F33" s="24" t="n">
        <v>8</v>
      </c>
      <c r="G33" s="25">
        <f>SUM(C33:F33)</f>
        <v/>
      </c>
      <c r="H33" s="26">
        <f>G33*$C$4</f>
        <v/>
      </c>
    </row>
    <row r="34">
      <c r="A34" s="11" t="n">
        <v>2</v>
      </c>
      <c r="B34" s="19" t="inlineStr">
        <is>
          <t>Bootstrapping — scan 3-5 active repos, create seed engrams</t>
        </is>
      </c>
      <c r="C34" s="24" t="n">
        <v>4</v>
      </c>
      <c r="D34" s="23" t="n"/>
      <c r="E34" s="23" t="n"/>
      <c r="F34" s="24" t="n">
        <v>8</v>
      </c>
      <c r="G34" s="25">
        <f>SUM(C34:F34)</f>
        <v/>
      </c>
      <c r="H34" s="26">
        <f>G34*$C$4</f>
        <v/>
      </c>
    </row>
    <row r="35">
      <c r="A35" s="11" t="n">
        <v>3</v>
      </c>
      <c r="B35" s="19" t="inlineStr">
        <is>
          <t>Onboarding 10-15 pilot users (hands-on setup &amp; training)</t>
        </is>
      </c>
      <c r="C35" s="24" t="n">
        <v>4</v>
      </c>
      <c r="D35" s="23" t="n"/>
      <c r="E35" s="23" t="n"/>
      <c r="F35" s="24" t="n">
        <v>8</v>
      </c>
      <c r="G35" s="25">
        <f>SUM(C35:F35)</f>
        <v/>
      </c>
      <c r="H35" s="26">
        <f>G35*$C$4</f>
        <v/>
      </c>
    </row>
    <row r="36">
      <c r="A36" s="11" t="n">
        <v>4</v>
      </c>
      <c r="B36" s="19" t="inlineStr">
        <is>
          <t>Phase report &amp; deliverables review with stakeholders</t>
        </is>
      </c>
      <c r="C36" s="23" t="n"/>
      <c r="D36" s="23" t="n"/>
      <c r="E36" s="23" t="n"/>
      <c r="F36" s="24" t="n">
        <v>4</v>
      </c>
      <c r="G36" s="25">
        <f>SUM(C36:F36)</f>
        <v/>
      </c>
      <c r="H36" s="26">
        <f>G36*$C$4</f>
        <v/>
      </c>
    </row>
    <row r="37">
      <c r="A37" s="16" t="n"/>
      <c r="B37" s="17" t="inlineStr">
        <is>
          <t>Subtotal — Quick Start</t>
        </is>
      </c>
      <c r="C37" s="27">
        <f>SUM(C33:C36)</f>
        <v/>
      </c>
      <c r="D37" s="27">
        <f>SUM(D33:D36)</f>
        <v/>
      </c>
      <c r="E37" s="27">
        <f>SUM(E33:E36)</f>
        <v/>
      </c>
      <c r="F37" s="27">
        <f>SUM(F33:F36)</f>
        <v/>
      </c>
      <c r="G37" s="27">
        <f>SUM(G33:G36)</f>
        <v/>
      </c>
      <c r="H37" s="18">
        <f>SUM(H33:H36)</f>
        <v/>
      </c>
    </row>
    <row r="38">
      <c r="A38" s="13" t="n"/>
      <c r="B38" s="28" t="inlineStr">
        <is>
          <t>AI compute (tokens)</t>
        </is>
      </c>
      <c r="C38" s="13" t="n"/>
      <c r="D38" s="13" t="n"/>
      <c r="E38" s="13" t="n"/>
      <c r="F38" s="13" t="n"/>
      <c r="G38" s="13" t="n"/>
      <c r="H38" s="14" t="n">
        <v>500</v>
      </c>
    </row>
    <row r="40">
      <c r="A40" s="22" t="inlineStr">
        <is>
          <t>Phase 1 — Scale to 50 Users</t>
        </is>
      </c>
    </row>
    <row r="41">
      <c r="A41" s="11" t="n">
        <v>1</v>
      </c>
      <c r="B41" s="19" t="inlineStr">
        <is>
          <t>Phase planning &amp; milestone definition</t>
        </is>
      </c>
      <c r="C41" s="23" t="n"/>
      <c r="D41" s="23" t="n"/>
      <c r="E41" s="23" t="n"/>
      <c r="F41" s="24" t="n">
        <v>4</v>
      </c>
      <c r="G41" s="25">
        <f>SUM(C41:F41)</f>
        <v/>
      </c>
      <c r="H41" s="26">
        <f>G41*$C$4</f>
        <v/>
      </c>
    </row>
    <row r="42">
      <c r="A42" s="11" t="n">
        <v>2</v>
      </c>
      <c r="B42" s="19" t="inlineStr">
        <is>
          <t>IDE compatibility validation for your tool stack</t>
        </is>
      </c>
      <c r="C42" s="23" t="n"/>
      <c r="D42" s="24" t="n">
        <v>4</v>
      </c>
      <c r="E42" s="23" t="n"/>
      <c r="F42" s="24" t="n">
        <v>8</v>
      </c>
      <c r="G42" s="25">
        <f>SUM(C42:F42)</f>
        <v/>
      </c>
      <c r="H42" s="26">
        <f>G42*$C$4</f>
        <v/>
      </c>
    </row>
    <row r="43">
      <c r="A43" s="11" t="n">
        <v>3</v>
      </c>
      <c r="B43" s="19" t="inlineStr">
        <is>
          <t>Onboarding remaining 35-40 users</t>
        </is>
      </c>
      <c r="C43" s="23" t="n"/>
      <c r="D43" s="23" t="n"/>
      <c r="E43" s="23" t="n"/>
      <c r="F43" s="24" t="n">
        <v>12</v>
      </c>
      <c r="G43" s="25">
        <f>SUM(C43:F43)</f>
        <v/>
      </c>
      <c r="H43" s="26">
        <f>G43*$C$4</f>
        <v/>
      </c>
    </row>
    <row r="44">
      <c r="A44" s="11" t="n">
        <v>4</v>
      </c>
      <c r="B44" s="19" t="inlineStr">
        <is>
          <t>Progress tracking, weekly status updates</t>
        </is>
      </c>
      <c r="C44" s="23" t="n"/>
      <c r="D44" s="23" t="n"/>
      <c r="E44" s="23" t="n"/>
      <c r="F44" s="24" t="n">
        <v>8</v>
      </c>
      <c r="G44" s="25">
        <f>SUM(C44:F44)</f>
        <v/>
      </c>
      <c r="H44" s="26">
        <f>G44*$C$4</f>
        <v/>
      </c>
    </row>
    <row r="45">
      <c r="A45" s="11" t="n">
        <v>5</v>
      </c>
      <c r="B45" s="19" t="inlineStr">
        <is>
          <t>Phase report &amp; deliverables handover</t>
        </is>
      </c>
      <c r="C45" s="23" t="n"/>
      <c r="D45" s="23" t="n"/>
      <c r="E45" s="23" t="n"/>
      <c r="F45" s="24" t="n">
        <v>4</v>
      </c>
      <c r="G45" s="25">
        <f>SUM(C45:F45)</f>
        <v/>
      </c>
      <c r="H45" s="26">
        <f>G45*$C$4</f>
        <v/>
      </c>
    </row>
    <row r="46">
      <c r="A46" s="16" t="n"/>
      <c r="B46" s="17" t="inlineStr">
        <is>
          <t>Subtotal — Phase 1</t>
        </is>
      </c>
      <c r="C46" s="27">
        <f>SUM(C41:C45)</f>
        <v/>
      </c>
      <c r="D46" s="27">
        <f>SUM(D41:D45)</f>
        <v/>
      </c>
      <c r="E46" s="27">
        <f>SUM(E41:E45)</f>
        <v/>
      </c>
      <c r="F46" s="27">
        <f>SUM(F41:F45)</f>
        <v/>
      </c>
      <c r="G46" s="27">
        <f>SUM(G41:G45)</f>
        <v/>
      </c>
      <c r="H46" s="18">
        <f>SUM(H41:H45)</f>
        <v/>
      </c>
    </row>
    <row r="47">
      <c r="A47" s="13" t="n"/>
      <c r="B47" s="28" t="inlineStr">
        <is>
          <t>AI compute (tokens)</t>
        </is>
      </c>
      <c r="C47" s="13" t="n"/>
      <c r="D47" s="13" t="n"/>
      <c r="E47" s="13" t="n"/>
      <c r="F47" s="13" t="n"/>
      <c r="G47" s="13" t="n"/>
      <c r="H47" s="14" t="n">
        <v>400</v>
      </c>
    </row>
    <row r="49">
      <c r="A49" s="22" t="inlineStr">
        <is>
          <t>Phase 2 — Knowledge Engineering (your codebase)</t>
        </is>
      </c>
    </row>
    <row r="50">
      <c r="A50" s="11" t="n">
        <v>1</v>
      </c>
      <c r="B50" s="19" t="inlineStr">
        <is>
          <t>Phase planning &amp; extraction strategy</t>
        </is>
      </c>
      <c r="C50" s="23" t="n"/>
      <c r="D50" s="23" t="n"/>
      <c r="E50" s="23" t="n"/>
      <c r="F50" s="24" t="n">
        <v>6</v>
      </c>
      <c r="G50" s="25">
        <f>SUM(C50:F50)</f>
        <v/>
      </c>
      <c r="H50" s="26">
        <f>G50*$C$4</f>
        <v/>
      </c>
    </row>
    <row r="51">
      <c r="A51" s="11" t="n">
        <v>2</v>
      </c>
      <c r="B51" s="19" t="inlineStr">
        <is>
          <t>Scan 1,400 repos — configs, CI, linters, docs</t>
        </is>
      </c>
      <c r="C51" s="23" t="n"/>
      <c r="D51" s="23" t="n"/>
      <c r="E51" s="23" t="n"/>
      <c r="F51" s="24" t="n">
        <v>16</v>
      </c>
      <c r="G51" s="25">
        <f>SUM(C51:F51)</f>
        <v/>
      </c>
      <c r="H51" s="26">
        <f>G51*$C$4</f>
        <v/>
      </c>
    </row>
    <row r="52">
      <c r="A52" s="11" t="n">
        <v>3</v>
      </c>
      <c r="B52" s="19" t="inlineStr">
        <is>
          <t>Convention &amp; pattern extraction from your codebase</t>
        </is>
      </c>
      <c r="C52" s="23" t="n"/>
      <c r="D52" s="23" t="n"/>
      <c r="E52" s="23" t="n"/>
      <c r="F52" s="24" t="n">
        <v>20</v>
      </c>
      <c r="G52" s="25">
        <f>SUM(C52:F52)</f>
        <v/>
      </c>
      <c r="H52" s="26">
        <f>G52*$C$4</f>
        <v/>
      </c>
    </row>
    <row r="53">
      <c r="A53" s="11" t="n">
        <v>4</v>
      </c>
      <c r="B53" s="19" t="inlineStr">
        <is>
          <t>Engram generation + quality tuning (multiple passes)</t>
        </is>
      </c>
      <c r="C53" s="24" t="n">
        <v>8</v>
      </c>
      <c r="D53" s="23" t="n"/>
      <c r="E53" s="23" t="n"/>
      <c r="F53" s="24" t="n">
        <v>12</v>
      </c>
      <c r="G53" s="25">
        <f>SUM(C53:F53)</f>
        <v/>
      </c>
      <c r="H53" s="26">
        <f>G53*$C$4</f>
        <v/>
      </c>
    </row>
    <row r="54">
      <c r="A54" s="11" t="n">
        <v>5</v>
      </c>
      <c r="B54" s="19" t="inlineStr">
        <is>
          <t>Knowledge pack packaging (per-project, per-group, org-wide)</t>
        </is>
      </c>
      <c r="C54" s="23" t="n"/>
      <c r="D54" s="24" t="n">
        <v>8</v>
      </c>
      <c r="E54" s="23" t="n"/>
      <c r="F54" s="24" t="n">
        <v>8</v>
      </c>
      <c r="G54" s="25">
        <f>SUM(C54:F54)</f>
        <v/>
      </c>
      <c r="H54" s="26">
        <f>G54*$C$4</f>
        <v/>
      </c>
    </row>
    <row r="55">
      <c r="A55" s="11" t="n">
        <v>6</v>
      </c>
      <c r="B55" s="19" t="inlineStr">
        <is>
          <t>Review &amp; curation workflow with your tech leads</t>
        </is>
      </c>
      <c r="C55" s="24" t="n">
        <v>8</v>
      </c>
      <c r="D55" s="23" t="n"/>
      <c r="E55" s="23" t="n"/>
      <c r="F55" s="24" t="n">
        <v>8</v>
      </c>
      <c r="G55" s="25">
        <f>SUM(C55:F55)</f>
        <v/>
      </c>
      <c r="H55" s="26">
        <f>G55*$C$4</f>
        <v/>
      </c>
    </row>
    <row r="56">
      <c r="A56" s="11" t="n">
        <v>7</v>
      </c>
      <c r="B56" s="19" t="inlineStr">
        <is>
          <t>Quality feedback loop (your tech leads' signals tune extraction)</t>
        </is>
      </c>
      <c r="C56" s="23" t="n"/>
      <c r="D56" s="24" t="n">
        <v>4</v>
      </c>
      <c r="E56" s="23" t="n"/>
      <c r="F56" s="24" t="n">
        <v>8</v>
      </c>
      <c r="G56" s="25">
        <f>SUM(C56:F56)</f>
        <v/>
      </c>
      <c r="H56" s="26">
        <f>G56*$C$4</f>
        <v/>
      </c>
    </row>
    <row r="57">
      <c r="A57" s="11" t="n">
        <v>8</v>
      </c>
      <c r="B57" s="19" t="inlineStr">
        <is>
          <t>New project hook — auto-extraction on repo creation</t>
        </is>
      </c>
      <c r="C57" s="23" t="n"/>
      <c r="D57" s="24" t="n">
        <v>8</v>
      </c>
      <c r="E57" s="24" t="n">
        <v>8</v>
      </c>
      <c r="F57" s="23" t="n"/>
      <c r="G57" s="25">
        <f>SUM(C57:F57)</f>
        <v/>
      </c>
      <c r="H57" s="26">
        <f>G57*$C$4</f>
        <v/>
      </c>
    </row>
    <row r="58">
      <c r="A58" s="11" t="n">
        <v>9</v>
      </c>
      <c r="B58" s="19" t="inlineStr">
        <is>
          <t>Progress tracking, weekly status updates</t>
        </is>
      </c>
      <c r="C58" s="23" t="n"/>
      <c r="D58" s="23" t="n"/>
      <c r="E58" s="23" t="n"/>
      <c r="F58" s="24" t="n">
        <v>8</v>
      </c>
      <c r="G58" s="25">
        <f>SUM(C58:F58)</f>
        <v/>
      </c>
      <c r="H58" s="26">
        <f>G58*$C$4</f>
        <v/>
      </c>
    </row>
    <row r="59">
      <c r="A59" s="11" t="n">
        <v>10</v>
      </c>
      <c r="B59" s="19" t="inlineStr">
        <is>
          <t>Phase report, knowledge coverage analysis &amp; deliverables review</t>
        </is>
      </c>
      <c r="C59" s="23" t="n"/>
      <c r="D59" s="23" t="n"/>
      <c r="E59" s="23" t="n"/>
      <c r="F59" s="24" t="n">
        <v>6</v>
      </c>
      <c r="G59" s="25">
        <f>SUM(C59:F59)</f>
        <v/>
      </c>
      <c r="H59" s="26">
        <f>G59*$C$4</f>
        <v/>
      </c>
    </row>
    <row r="60">
      <c r="A60" s="16" t="n"/>
      <c r="B60" s="17" t="inlineStr">
        <is>
          <t>Subtotal — Phase 2</t>
        </is>
      </c>
      <c r="C60" s="27">
        <f>SUM(C50:C59)</f>
        <v/>
      </c>
      <c r="D60" s="27">
        <f>SUM(D50:D59)</f>
        <v/>
      </c>
      <c r="E60" s="27">
        <f>SUM(E50:E59)</f>
        <v/>
      </c>
      <c r="F60" s="27">
        <f>SUM(F50:F59)</f>
        <v/>
      </c>
      <c r="G60" s="27">
        <f>SUM(G50:G59)</f>
        <v/>
      </c>
      <c r="H60" s="18">
        <f>SUM(H50:H59)</f>
        <v/>
      </c>
    </row>
    <row r="61">
      <c r="A61" s="13" t="n"/>
      <c r="B61" s="28" t="inlineStr">
        <is>
          <t>AI compute (tokens)</t>
        </is>
      </c>
      <c r="C61" s="13" t="n"/>
      <c r="D61" s="13" t="n"/>
      <c r="E61" s="13" t="n"/>
      <c r="F61" s="13" t="n"/>
      <c r="G61" s="13" t="n"/>
      <c r="H61" s="14" t="n">
        <v>580</v>
      </c>
    </row>
    <row r="63">
      <c r="A63" s="22" t="inlineStr">
        <is>
          <t>Phase 3 — AI Development Team (your org)</t>
        </is>
      </c>
    </row>
    <row r="64">
      <c r="A64" s="11" t="n">
        <v>1</v>
      </c>
      <c r="B64" s="19" t="inlineStr">
        <is>
          <t>Phase planning &amp; workflow discovery with your team</t>
        </is>
      </c>
      <c r="C64" s="24" t="n">
        <v>4</v>
      </c>
      <c r="D64" s="23" t="n"/>
      <c r="E64" s="23" t="n"/>
      <c r="F64" s="24" t="n">
        <v>8</v>
      </c>
      <c r="G64" s="25">
        <f>SUM(C64:F64)</f>
        <v/>
      </c>
      <c r="H64" s="26">
        <f>G64*$C$4</f>
        <v/>
      </c>
    </row>
    <row r="65">
      <c r="A65" s="11" t="n">
        <v>2</v>
      </c>
      <c r="B65" s="19" t="inlineStr">
        <is>
          <t>AI Chief of Staff — configured for your org structure</t>
        </is>
      </c>
      <c r="C65" s="24" t="n">
        <v>8</v>
      </c>
      <c r="D65" s="24" t="n">
        <v>16</v>
      </c>
      <c r="E65" s="23" t="n"/>
      <c r="F65" s="24" t="n">
        <v>4</v>
      </c>
      <c r="G65" s="25">
        <f>SUM(C65:F65)</f>
        <v/>
      </c>
      <c r="H65" s="26">
        <f>G65*$C$4</f>
        <v/>
      </c>
    </row>
    <row r="66">
      <c r="A66" s="11" t="n">
        <v>3</v>
      </c>
      <c r="B66" s="19" t="inlineStr">
        <is>
          <t>Insight Agent — tuned to your knowledge graph</t>
        </is>
      </c>
      <c r="C66" s="24" t="n">
        <v>8</v>
      </c>
      <c r="D66" s="24" t="n">
        <v>12</v>
      </c>
      <c r="E66" s="23" t="n"/>
      <c r="F66" s="24" t="n">
        <v>8</v>
      </c>
      <c r="G66" s="25">
        <f>SUM(C66:F66)</f>
        <v/>
      </c>
      <c r="H66" s="26">
        <f>G66*$C$4</f>
        <v/>
      </c>
    </row>
    <row r="67">
      <c r="A67" s="11" t="n">
        <v>4</v>
      </c>
      <c r="B67" s="19" t="inlineStr">
        <is>
          <t>Onboarding Companion — built from your conventions</t>
        </is>
      </c>
      <c r="C67" s="24" t="n">
        <v>4</v>
      </c>
      <c r="D67" s="24" t="n">
        <v>12</v>
      </c>
      <c r="E67" s="23" t="n"/>
      <c r="F67" s="24" t="n">
        <v>8</v>
      </c>
      <c r="G67" s="25">
        <f>SUM(C67:F67)</f>
        <v/>
      </c>
      <c r="H67" s="26">
        <f>G67*$C$4</f>
        <v/>
      </c>
    </row>
    <row r="68">
      <c r="A68" s="11" t="n">
        <v>5</v>
      </c>
      <c r="B68" s="19" t="inlineStr">
        <is>
          <t>Agent testing &amp; validation with your team</t>
        </is>
      </c>
      <c r="C68" s="23" t="n"/>
      <c r="D68" s="23" t="n"/>
      <c r="E68" s="23" t="n"/>
      <c r="F68" s="24" t="n">
        <v>8</v>
      </c>
      <c r="G68" s="25">
        <f>SUM(C68:F68)</f>
        <v/>
      </c>
      <c r="H68" s="26">
        <f>G68*$C$4</f>
        <v/>
      </c>
    </row>
    <row r="69">
      <c r="A69" s="11" t="n">
        <v>6</v>
      </c>
      <c r="B69" s="19" t="inlineStr">
        <is>
          <t>Progress tracking, weekly status updates</t>
        </is>
      </c>
      <c r="C69" s="23" t="n"/>
      <c r="D69" s="23" t="n"/>
      <c r="E69" s="23" t="n"/>
      <c r="F69" s="24" t="n">
        <v>8</v>
      </c>
      <c r="G69" s="25">
        <f>SUM(C69:F69)</f>
        <v/>
      </c>
      <c r="H69" s="26">
        <f>G69*$C$4</f>
        <v/>
      </c>
    </row>
    <row r="70">
      <c r="A70" s="11" t="n">
        <v>7</v>
      </c>
      <c r="B70" s="19" t="inlineStr">
        <is>
          <t>Final report, outcomes documentation &amp; handover</t>
        </is>
      </c>
      <c r="C70" s="23" t="n"/>
      <c r="D70" s="23" t="n"/>
      <c r="E70" s="23" t="n"/>
      <c r="F70" s="24" t="n">
        <v>6</v>
      </c>
      <c r="G70" s="25">
        <f>SUM(C70:F70)</f>
        <v/>
      </c>
      <c r="H70" s="26">
        <f>G70*$C$4</f>
        <v/>
      </c>
    </row>
    <row r="71">
      <c r="A71" s="16" t="n"/>
      <c r="B71" s="17" t="inlineStr">
        <is>
          <t>Subtotal — Phase 3</t>
        </is>
      </c>
      <c r="C71" s="27">
        <f>SUM(C64:C70)</f>
        <v/>
      </c>
      <c r="D71" s="27">
        <f>SUM(D64:D70)</f>
        <v/>
      </c>
      <c r="E71" s="27">
        <f>SUM(E64:E70)</f>
        <v/>
      </c>
      <c r="F71" s="27">
        <f>SUM(F64:F70)</f>
        <v/>
      </c>
      <c r="G71" s="27">
        <f>SUM(G64:G70)</f>
        <v/>
      </c>
      <c r="H71" s="18">
        <f>SUM(H64:H70)</f>
        <v/>
      </c>
    </row>
    <row r="72">
      <c r="A72" s="13" t="n"/>
      <c r="B72" s="28" t="inlineStr">
        <is>
          <t>AI compute (tokens)</t>
        </is>
      </c>
      <c r="C72" s="13" t="n"/>
      <c r="D72" s="13" t="n"/>
      <c r="E72" s="13" t="n"/>
      <c r="F72" s="13" t="n"/>
      <c r="G72" s="13" t="n"/>
      <c r="H72" s="14" t="n">
        <v>870</v>
      </c>
    </row>
    <row r="74">
      <c r="A74" s="29" t="n"/>
      <c r="B74" s="30" t="inlineStr">
        <is>
          <t>CUSTOM SERVICES TOTAL</t>
        </is>
      </c>
      <c r="C74" s="29" t="n"/>
      <c r="D74" s="29" t="n"/>
      <c r="E74" s="29" t="n"/>
      <c r="F74" s="29" t="n"/>
      <c r="G74" s="31">
        <f>G37+G46+G60+G71</f>
        <v/>
      </c>
      <c r="H74" s="32">
        <f>H37+H38+H46+H47+H60+H61+H71+H72</f>
        <v/>
      </c>
    </row>
    <row r="76">
      <c r="A76" s="29" t="n"/>
      <c r="B76" s="30" t="inlineStr">
        <is>
          <t>PROJECT TOTAL (platform + custom)</t>
        </is>
      </c>
      <c r="C76" s="29" t="n"/>
      <c r="D76" s="29" t="n"/>
      <c r="E76" s="29" t="n"/>
      <c r="F76" s="29" t="n"/>
      <c r="G76" s="29" t="n"/>
      <c r="H76" s="32">
        <f>H26+H74</f>
        <v/>
      </c>
    </row>
    <row r="77">
      <c r="B77" s="33" t="inlineStr">
        <is>
          <t>Design partner discount</t>
        </is>
      </c>
      <c r="H77" s="34">
        <f>-H76*$C$5</f>
        <v/>
      </c>
    </row>
    <row r="78">
      <c r="A78" s="35" t="n"/>
      <c r="B78" s="36" t="inlineStr">
        <is>
          <t>PROJECT TOTAL (design partner price)</t>
        </is>
      </c>
      <c r="C78" s="35" t="n"/>
      <c r="D78" s="35" t="n"/>
      <c r="E78" s="35" t="n"/>
      <c r="F78" s="35" t="n"/>
      <c r="G78" s="35" t="n"/>
      <c r="H78" s="37">
        <f>H76+H77</f>
        <v/>
      </c>
    </row>
    <row r="81">
      <c r="A81" s="9" t="inlineStr">
        <is>
          <t>3. MONTHLY SUPPORT &amp; MAINTENANCE</t>
        </is>
      </c>
    </row>
    <row r="82">
      <c r="A82" s="38" t="n"/>
      <c r="B82" s="39" t="inlineStr">
        <is>
          <t>Included in monthly retainer</t>
        </is>
      </c>
      <c r="C82" s="38" t="n"/>
      <c r="D82" s="38" t="n"/>
      <c r="E82" s="38" t="n"/>
      <c r="F82" s="38" t="n"/>
      <c r="G82" s="38" t="n"/>
      <c r="H82" s="21" t="inlineStr">
        <is>
          <t>Monthly</t>
        </is>
      </c>
    </row>
    <row r="83">
      <c r="A83" s="11" t="n">
        <v>1</v>
      </c>
      <c r="B83" s="19" t="inlineStr">
        <is>
          <t>Security patches, dependency updates &amp; PLUR core upgrades</t>
        </is>
      </c>
      <c r="C83" s="13" t="n"/>
      <c r="D83" s="13" t="n"/>
      <c r="E83" s="13" t="n"/>
      <c r="F83" s="13" t="n"/>
      <c r="G83" s="13" t="n"/>
      <c r="H83" s="13" t="n"/>
    </row>
    <row r="84">
      <c r="A84" s="11" t="n">
        <v>2</v>
      </c>
      <c r="B84" s="19" t="inlineStr">
        <is>
          <t>Infrastructure monitoring, uptime SLA (99.5%), incident response</t>
        </is>
      </c>
      <c r="C84" s="13" t="n"/>
      <c r="D84" s="13" t="n"/>
      <c r="E84" s="13" t="n"/>
      <c r="F84" s="13" t="n"/>
      <c r="G84" s="13" t="n"/>
      <c r="H84" s="13" t="n"/>
    </row>
    <row r="85">
      <c r="A85" s="11" t="n">
        <v>3</v>
      </c>
      <c r="B85" s="19" t="inlineStr">
        <is>
          <t>Knowledge pipeline tuning (extraction quality, pack curation)</t>
        </is>
      </c>
      <c r="C85" s="13" t="n"/>
      <c r="D85" s="13" t="n"/>
      <c r="E85" s="13" t="n"/>
      <c r="F85" s="13" t="n"/>
      <c r="G85" s="13" t="n"/>
      <c r="H85" s="13" t="n"/>
    </row>
    <row r="86">
      <c r="A86" s="11" t="n">
        <v>4</v>
      </c>
      <c r="B86" s="19" t="inlineStr">
        <is>
          <t>New user onboarding (team growth, offboarding cleanup)</t>
        </is>
      </c>
      <c r="C86" s="13" t="n"/>
      <c r="D86" s="13" t="n"/>
      <c r="E86" s="13" t="n"/>
      <c r="F86" s="13" t="n"/>
      <c r="G86" s="13" t="n"/>
      <c r="H86" s="13" t="n"/>
    </row>
    <row r="87">
      <c r="A87" s="11" t="n">
        <v>5</v>
      </c>
      <c r="B87" s="19" t="inlineStr">
        <is>
          <t>Priority bug fixes (&lt; 24h response, &lt; 72h resolution)</t>
        </is>
      </c>
      <c r="C87" s="13" t="n"/>
      <c r="D87" s="13" t="n"/>
      <c r="E87" s="13" t="n"/>
      <c r="F87" s="13" t="n"/>
      <c r="G87" s="13" t="n"/>
      <c r="H87" s="13" t="n"/>
    </row>
    <row r="88">
      <c r="A88" s="11" t="n">
        <v>6</v>
      </c>
      <c r="B88" s="19" t="inlineStr">
        <is>
          <t>Platform evolution (new MCP clients, IDE support, model changes)</t>
        </is>
      </c>
      <c r="C88" s="13" t="n"/>
      <c r="D88" s="13" t="n"/>
      <c r="E88" s="13" t="n"/>
      <c r="F88" s="13" t="n"/>
      <c r="G88" s="13" t="n"/>
      <c r="H88" s="13" t="n"/>
    </row>
    <row r="89">
      <c r="A89" s="11" t="n">
        <v>7</v>
      </c>
      <c r="B89" s="19" t="inlineStr">
        <is>
          <t>AI compute (token budget for agents, extraction, orchestration)</t>
        </is>
      </c>
      <c r="C89" s="13" t="n"/>
      <c r="D89" s="13" t="n"/>
      <c r="E89" s="13" t="n"/>
      <c r="F89" s="13" t="n"/>
      <c r="G89" s="13" t="n"/>
      <c r="H89" s="13" t="n"/>
    </row>
    <row r="90">
      <c r="A90" s="11" t="n">
        <v>8</v>
      </c>
      <c r="B90" s="19" t="inlineStr">
        <is>
          <t>Quarterly review &amp; optimization session</t>
        </is>
      </c>
      <c r="C90" s="13" t="n"/>
      <c r="D90" s="13" t="n"/>
      <c r="E90" s="13" t="n"/>
      <c r="F90" s="13" t="n"/>
      <c r="G90" s="13" t="n"/>
      <c r="H90" s="13" t="n"/>
    </row>
    <row r="92">
      <c r="A92" s="40" t="n"/>
      <c r="B92" s="41" t="inlineStr">
        <is>
          <t>MONTHLY RETAINER (50 users)</t>
        </is>
      </c>
      <c r="C92" s="40" t="n"/>
      <c r="D92" s="40" t="n"/>
      <c r="E92" s="40" t="n"/>
      <c r="F92" s="40" t="n"/>
      <c r="G92" s="40" t="n"/>
      <c r="H92" s="42">
        <f>$C$6+$C$7</f>
        <v/>
      </c>
    </row>
    <row r="95">
      <c r="A95" s="9" t="inlineStr">
        <is>
          <t>ANNUAL COMMITMENT (12 months)</t>
        </is>
      </c>
    </row>
    <row r="96">
      <c r="A96" s="13" t="n"/>
      <c r="B96" s="19" t="inlineStr">
        <is>
          <t>Platform setup (one-time)</t>
        </is>
      </c>
      <c r="C96" s="13" t="n"/>
      <c r="D96" s="13" t="n"/>
      <c r="E96" s="13" t="n"/>
      <c r="F96" s="13" t="n"/>
      <c r="G96" s="13" t="n"/>
      <c r="H96" s="26">
        <f>H26</f>
        <v/>
      </c>
    </row>
    <row r="97">
      <c r="A97" s="13" t="n"/>
      <c r="B97" s="19" t="inlineStr">
        <is>
          <t>Custom services (one-time)</t>
        </is>
      </c>
      <c r="C97" s="13" t="n"/>
      <c r="D97" s="13" t="n"/>
      <c r="E97" s="13" t="n"/>
      <c r="F97" s="13" t="n"/>
      <c r="G97" s="13" t="n"/>
      <c r="H97" s="26">
        <f>H74</f>
        <v/>
      </c>
    </row>
    <row r="98">
      <c r="A98" s="13" t="n"/>
      <c r="B98" s="19" t="inlineStr">
        <is>
          <t>Design partner discount</t>
        </is>
      </c>
      <c r="C98" s="13" t="n"/>
      <c r="D98" s="13" t="n"/>
      <c r="E98" s="13" t="n"/>
      <c r="F98" s="13" t="n"/>
      <c r="G98" s="13" t="n"/>
      <c r="H98" s="26">
        <f>H77</f>
        <v/>
      </c>
    </row>
    <row r="99">
      <c r="A99" s="13" t="n"/>
      <c r="B99" s="19" t="inlineStr">
        <is>
          <t>Support &amp; maintenance (12 months)</t>
        </is>
      </c>
      <c r="C99" s="13" t="n"/>
      <c r="D99" s="13" t="n"/>
      <c r="E99" s="13" t="n"/>
      <c r="F99" s="13" t="n"/>
      <c r="G99" s="13" t="n"/>
      <c r="H99" s="26">
        <f>H92*$C$9</f>
        <v/>
      </c>
    </row>
    <row r="100">
      <c r="A100" s="13" t="n"/>
      <c r="B100" s="19" t="inlineStr">
        <is>
          <t>Infrastructure (at cost)</t>
        </is>
      </c>
      <c r="C100" s="13" t="n"/>
      <c r="D100" s="13" t="n"/>
      <c r="E100" s="13" t="n"/>
      <c r="F100" s="13" t="n"/>
      <c r="G100" s="13" t="n"/>
      <c r="H100" s="26">
        <f>$C$8*$C$9</f>
        <v/>
      </c>
    </row>
    <row r="101">
      <c r="A101" s="35" t="n"/>
      <c r="B101" s="43" t="inlineStr">
        <is>
          <t>ANNUAL COMMITMENT TOTAL</t>
        </is>
      </c>
      <c r="C101" s="35" t="n"/>
      <c r="D101" s="35" t="n"/>
      <c r="E101" s="35" t="n"/>
      <c r="F101" s="35" t="n"/>
      <c r="G101" s="35" t="n"/>
      <c r="H101" s="44">
        <f>H96+H97+H98+H99+H100</f>
        <v/>
      </c>
    </row>
    <row r="102">
      <c r="B102" s="45" t="inlineStr">
        <is>
          <t>Monthly equivalent</t>
        </is>
      </c>
      <c r="H102" s="46">
        <f>H101/$C$9</f>
        <v/>
      </c>
    </row>
    <row r="105">
      <c r="A105" s="47" t="inlineStr">
        <is>
          <t>MARGIN ANALYSIS (INTERNAL ONLY)</t>
        </is>
      </c>
    </row>
    <row r="106">
      <c r="A106" s="13" t="n"/>
      <c r="B106" s="19" t="inlineStr">
        <is>
          <t>Project revenue (design partner)</t>
        </is>
      </c>
      <c r="C106" s="13" t="n"/>
      <c r="D106" s="13" t="n"/>
      <c r="E106" s="13" t="n"/>
      <c r="F106" s="13" t="n"/>
      <c r="G106" s="13" t="n"/>
      <c r="H106" s="26">
        <f>H78</f>
        <v/>
      </c>
    </row>
    <row r="107">
      <c r="A107" s="13" t="n"/>
      <c r="B107" s="19" t="inlineStr">
        <is>
          <t>Platform internal cost (mostly built — estimate)</t>
        </is>
      </c>
      <c r="C107" s="13" t="n"/>
      <c r="D107" s="13" t="n"/>
      <c r="E107" s="13" t="n"/>
      <c r="F107" s="13" t="n"/>
      <c r="G107" s="13" t="n"/>
      <c r="H107" s="14" t="n">
        <v>3000</v>
      </c>
    </row>
    <row r="108">
      <c r="A108" s="13" t="n"/>
      <c r="B108" s="19" t="inlineStr">
        <is>
          <t>Custom services internal cost (hours × internal rate)</t>
        </is>
      </c>
      <c r="C108" s="13" t="n"/>
      <c r="D108" s="13" t="n"/>
      <c r="E108" s="13" t="n"/>
      <c r="F108" s="13" t="n"/>
      <c r="G108" s="13" t="n"/>
      <c r="H108" s="26">
        <f>G74*$C$10</f>
        <v/>
      </c>
    </row>
    <row r="109">
      <c r="A109" s="48" t="n"/>
      <c r="B109" s="49" t="inlineStr">
        <is>
          <t>PROJECT MARGIN</t>
        </is>
      </c>
      <c r="C109" s="48" t="n"/>
      <c r="D109" s="48" t="n"/>
      <c r="E109" s="48" t="n"/>
      <c r="F109" s="48" t="n"/>
      <c r="G109" s="48" t="n"/>
      <c r="H109" s="50">
        <f>H106-H107-H108</f>
        <v/>
      </c>
    </row>
    <row r="110">
      <c r="B110" s="45" t="inlineStr">
        <is>
          <t>Margin %</t>
        </is>
      </c>
      <c r="H110" s="51">
        <f>H109/H106</f>
        <v/>
      </c>
    </row>
    <row r="111">
      <c r="B111" s="45" t="inlineStr">
        <is>
          <t>Annual support margin (retainer − ~8h/mo internal)</t>
        </is>
      </c>
      <c r="H111" s="52">
        <f>(H92-8*$C$10)*$C$9</f>
        <v/>
      </c>
    </row>
    <row r="112">
      <c r="B112" s="47" t="inlineStr">
        <is>
          <t>TOTAL ANNUAL MARGIN</t>
        </is>
      </c>
      <c r="H112" s="53">
        <f>H109+H111</f>
        <v/>
      </c>
    </row>
    <row r="115">
      <c r="A115" s="7" t="inlineStr">
        <is>
          <t>Payment Schedule</t>
        </is>
      </c>
    </row>
    <row r="116">
      <c r="A116" s="13" t="n"/>
      <c r="B116" s="19" t="inlineStr">
        <is>
          <t>Quick Start (platform + custom)</t>
        </is>
      </c>
      <c r="C116" s="19" t="inlineStr">
        <is>
          <t>Weeks 1-3</t>
        </is>
      </c>
      <c r="D116" s="13" t="n"/>
      <c r="E116" s="13" t="n"/>
      <c r="F116" s="13" t="n"/>
      <c r="G116" s="13" t="n"/>
      <c r="H116" s="13" t="n"/>
    </row>
    <row r="117">
      <c r="A117" s="13" t="n"/>
      <c r="B117" s="19" t="inlineStr">
        <is>
          <t>Phase 1 — Scale to 50</t>
        </is>
      </c>
      <c r="C117" s="19" t="inlineStr">
        <is>
          <t>Months 1-3</t>
        </is>
      </c>
      <c r="D117" s="13" t="n"/>
      <c r="E117" s="13" t="n"/>
      <c r="F117" s="13" t="n"/>
      <c r="G117" s="13" t="n"/>
      <c r="H117" s="13" t="n"/>
    </row>
    <row r="118">
      <c r="A118" s="13" t="n"/>
      <c r="B118" s="19" t="inlineStr">
        <is>
          <t>Phase 2 — Knowledge Engineering</t>
        </is>
      </c>
      <c r="C118" s="19" t="inlineStr">
        <is>
          <t>Months 3-5</t>
        </is>
      </c>
      <c r="D118" s="13" t="n"/>
      <c r="E118" s="13" t="n"/>
      <c r="F118" s="13" t="n"/>
      <c r="G118" s="13" t="n"/>
      <c r="H118" s="13" t="n"/>
    </row>
    <row r="119">
      <c r="A119" s="13" t="n"/>
      <c r="B119" s="19" t="inlineStr">
        <is>
          <t>Phase 3 — AI Development Team</t>
        </is>
      </c>
      <c r="C119" s="19" t="inlineStr">
        <is>
          <t>Months 5-7</t>
        </is>
      </c>
      <c r="D119" s="13" t="n"/>
      <c r="E119" s="13" t="n"/>
      <c r="F119" s="13" t="n"/>
      <c r="G119" s="13" t="n"/>
      <c r="H119" s="13" t="n"/>
    </row>
    <row r="120">
      <c r="A120" s="13" t="n"/>
      <c r="B120" s="19" t="inlineStr">
        <is>
          <t>Monthly support (12-month commitment)</t>
        </is>
      </c>
      <c r="C120" s="19" t="inlineStr">
        <is>
          <t>Ongoing</t>
        </is>
      </c>
      <c r="D120" s="13" t="n"/>
      <c r="E120" s="13" t="n"/>
      <c r="F120" s="13" t="n"/>
      <c r="G120" s="13" t="n"/>
      <c r="H120" s="13" t="n"/>
    </row>
    <row r="123">
      <c r="A123" s="7" t="inlineStr">
        <is>
          <t>Design Partner Benefits</t>
        </is>
      </c>
    </row>
    <row r="124">
      <c r="B124" s="8" t="inlineStr">
        <is>
          <t xml:space="preserve">  Influence on product roadmap — your requirements built first</t>
        </is>
      </c>
    </row>
    <row r="125">
      <c r="B125" s="8" t="inlineStr">
        <is>
          <t xml:space="preserve">  White-label &amp; reseller rights (future phase, pre-negotiated)</t>
        </is>
      </c>
    </row>
    <row r="126">
      <c r="B126" s="8" t="inlineStr">
        <is>
          <t xml:space="preserve">  Case study &amp; reference customer agreement</t>
        </is>
      </c>
    </row>
    <row r="127">
      <c r="B127" s="8" t="inlineStr">
        <is>
          <t xml:space="preserve">  Priority support with dedicated team</t>
        </is>
      </c>
    </row>
    <row r="128">
      <c r="B128" s="8" t="inlineStr">
        <is>
          <t xml:space="preserve">  Quarterly product review &amp; roadmap alignment sessions</t>
        </is>
      </c>
    </row>
    <row r="131">
      <c r="A131" s="7" t="inlineStr">
        <is>
          <t>Notes</t>
        </is>
      </c>
    </row>
    <row r="132">
      <c r="B132" s="15" t="inlineStr">
        <is>
          <t xml:space="preserve">  All prices exclude VAT.</t>
        </is>
      </c>
    </row>
    <row r="133">
      <c r="B133" s="15" t="inlineStr">
        <is>
          <t xml:space="preserve">  Platform fees are flat — one-time setup, not hourly.</t>
        </is>
      </c>
    </row>
    <row r="134">
      <c r="B134" s="15" t="inlineStr">
        <is>
          <t xml:space="preserve">  Custom services invoiced on actuals with weekly reporting.</t>
        </is>
      </c>
    </row>
    <row r="135">
      <c r="B135" s="15" t="inlineStr">
        <is>
          <t xml:space="preserve">  12-month support commitment — retainer locked for the full year.</t>
        </is>
      </c>
    </row>
    <row r="136">
      <c r="B136" s="15" t="inlineStr">
        <is>
          <t xml:space="preserve">  Infrastructure (hosting, database) billed at cost.</t>
        </is>
      </c>
    </row>
    <row r="137">
      <c r="B137" s="15" t="inlineStr">
        <is>
          <t xml:space="preserve">  Support covers up to 50 users. Additional users: 30 EUR/user/month.</t>
        </is>
      </c>
    </row>
    <row r="138">
      <c r="B138" s="15" t="inlineStr">
        <is>
          <t xml:space="preserve">  We use Claude Code and AI-assisted development — this is how we deliver fast.</t>
        </is>
      </c>
    </row>
    <row r="139">
      <c r="B139" s="15" t="inlineStr">
        <is>
          <t xml:space="preserve">  Yellow cells are adjustable — all totals recalculate automatically.</t>
        </is>
      </c>
    </row>
    <row r="140">
      <c r="B140" s="15" t="inlineStr">
        <is>
          <t xml:space="preserve">  INTERNAL SHEET — do not share with client.</t>
        </is>
      </c>
    </row>
  </sheetData>
  <mergeCells count="42">
    <mergeCell ref="B137:H137"/>
    <mergeCell ref="C16:H16"/>
    <mergeCell ref="A30:H30"/>
    <mergeCell ref="C119:F119"/>
    <mergeCell ref="A49:H49"/>
    <mergeCell ref="B133:H133"/>
    <mergeCell ref="B22:F22"/>
    <mergeCell ref="A1:H1"/>
    <mergeCell ref="B139:H139"/>
    <mergeCell ref="A19:G19"/>
    <mergeCell ref="A123:H123"/>
    <mergeCell ref="B27:F27"/>
    <mergeCell ref="B135:H135"/>
    <mergeCell ref="B138:H138"/>
    <mergeCell ref="B25:H25"/>
    <mergeCell ref="B134:H134"/>
    <mergeCell ref="C116:F116"/>
    <mergeCell ref="A12:H12"/>
    <mergeCell ref="A18:H18"/>
    <mergeCell ref="A3:H3"/>
    <mergeCell ref="A105:H105"/>
    <mergeCell ref="B140:H140"/>
    <mergeCell ref="A95:H95"/>
    <mergeCell ref="C13:H13"/>
    <mergeCell ref="B21:H21"/>
    <mergeCell ref="A32:H32"/>
    <mergeCell ref="C117:F117"/>
    <mergeCell ref="B136:H136"/>
    <mergeCell ref="B23:H23"/>
    <mergeCell ref="C15:H15"/>
    <mergeCell ref="A131:H131"/>
    <mergeCell ref="C118:F118"/>
    <mergeCell ref="B24:F24"/>
    <mergeCell ref="C14:H14"/>
    <mergeCell ref="B20:F20"/>
    <mergeCell ref="A81:H81"/>
    <mergeCell ref="B132:H132"/>
    <mergeCell ref="A63:H63"/>
    <mergeCell ref="A115:H115"/>
    <mergeCell ref="C120:F120"/>
    <mergeCell ref="B28:H28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2026-04-24T08:11:29Z</dcterms:created>
  <dcterms:modified xmlns:dcterms="http://purl.org/dc/terms/" xmlns:xsi="http://www.w3.org/2001/XMLSchema-instance" xsi:type="dcterms:W3CDTF">2026-04-24T08:11:29Z</dcterms:modified>
</cp:coreProperties>
</file>