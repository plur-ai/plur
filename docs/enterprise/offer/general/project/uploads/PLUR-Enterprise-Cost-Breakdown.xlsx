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" sheetId="1" state="visible" r:id="rId1"/>
    <sheet xmlns:r="http://schemas.openxmlformats.org/officeDocument/2006/relationships" name="Internal" sheetId="2" state="visible" r:id="rId2"/>
  </sheets>
  <definedNames>
    <definedName name="_xlnm.Print_Area" localSheetId="0">'Client'!$A$1:$H$150</definedName>
    <definedName name="_xlnm.Print_Area" localSheetId="1">'Internal'!$A$1:$H$166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EUR/mo&quot;"/>
    <numFmt numFmtId="165" formatCode="#,##0 &quot;EUR&quot;"/>
    <numFmt numFmtId="166" formatCode="0.0&quot;x&quot;"/>
    <numFmt numFmtId="167" formatCode="0.0 &quot;months&quot;"/>
  </numFmts>
  <fonts count="1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E65100"/>
      <sz val="12"/>
    </font>
    <font>
      <name val="Calibri"/>
      <b val="1"/>
      <sz val="11"/>
    </font>
    <font>
      <name val="Calibri"/>
      <b val="1"/>
      <color rgb="00E65100"/>
      <sz val="11"/>
    </font>
    <font>
      <name val="Calibri"/>
      <b val="1"/>
      <sz val="12"/>
    </font>
    <font>
      <name val="Calibri"/>
      <sz val="11"/>
    </font>
    <font>
      <name val="Calibri"/>
      <b val="1"/>
      <sz val="13"/>
    </font>
    <font>
      <name val="Calibri"/>
      <b val="1"/>
      <color rgb="00FFFFFF"/>
      <sz val="12"/>
    </font>
    <font>
      <name val="Calibri"/>
      <color rgb="00666666"/>
      <sz val="10"/>
    </font>
    <font>
      <name val="Calibri"/>
      <b val="1"/>
      <color rgb="002E7D32"/>
      <sz val="11"/>
    </font>
    <font>
      <name val="Calibri"/>
      <color rgb="002E7D32"/>
      <sz val="11"/>
    </font>
    <font>
      <name val="Calibri"/>
      <color rgb="00999999"/>
      <sz val="11"/>
    </font>
    <font>
      <name val="Calibri"/>
      <b val="1"/>
      <color rgb="002E7D32"/>
      <sz val="12"/>
    </font>
    <font>
      <name val="Calibri"/>
      <i val="1"/>
      <color rgb="00666666"/>
      <sz val="11"/>
    </font>
    <font>
      <name val="Calibri"/>
      <b val="1"/>
      <color rgb="00283593"/>
      <sz val="12"/>
    </font>
    <font>
      <name val="Calibri"/>
      <b val="1"/>
      <color rgb="001B5E20"/>
      <sz val="13"/>
    </font>
    <font>
      <name val="Calibri"/>
      <b val="1"/>
      <color rgb="006A1B9A"/>
      <sz val="12"/>
    </font>
  </fonts>
  <fills count="10">
    <fill>
      <patternFill/>
    </fill>
    <fill>
      <patternFill patternType="gray125"/>
    </fill>
    <fill>
      <patternFill patternType="solid">
        <fgColor rgb="00FFFDE7"/>
        <bgColor rgb="00FFFDE7"/>
      </patternFill>
    </fill>
    <fill>
      <patternFill patternType="solid">
        <fgColor rgb="002F5496"/>
        <bgColor rgb="002F5496"/>
      </patternFill>
    </fill>
    <fill>
      <patternFill patternType="solid">
        <fgColor rgb="00FFF3E0"/>
        <bgColor rgb="00FFF3E0"/>
      </patternFill>
    </fill>
    <fill>
      <patternFill patternType="solid">
        <fgColor rgb="00D6E4F0"/>
        <bgColor rgb="00D6E4F0"/>
      </patternFill>
    </fill>
    <fill>
      <patternFill patternType="solid">
        <fgColor rgb="00E8EAF6"/>
        <bgColor rgb="00E8EAF6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</fills>
  <borders count="5">
    <border>
      <left/>
      <right/>
      <top/>
      <bottom/>
      <diagonal/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bottom style="thin">
        <color rgb="00CCCCCC"/>
      </bottom>
    </border>
    <border>
      <top style="medium">
        <color rgb="002F5496"/>
      </top>
      <bottom style="medium">
        <color rgb="002F5496"/>
      </bottom>
    </border>
    <border>
      <top style="thin">
        <color rgb="002F5496"/>
      </top>
      <bottom style="thin">
        <color rgb="002F5496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4" fillId="2" borderId="1" applyAlignment="1" pivotButton="0" quotePrefix="0" xfId="0">
      <alignment horizontal="right"/>
    </xf>
    <xf numFmtId="3" fontId="4" fillId="2" borderId="1" applyAlignment="1" pivotButton="0" quotePrefix="0" xfId="0">
      <alignment horizontal="right"/>
    </xf>
    <xf numFmtId="9" fontId="4" fillId="2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3" borderId="0" pivotButton="0" quotePrefix="0" xfId="0"/>
    <xf numFmtId="0" fontId="8" fillId="3" borderId="0" pivotButton="0" quotePrefix="0" xfId="0"/>
    <xf numFmtId="0" fontId="0" fillId="0" borderId="2" pivotButton="0" quotePrefix="0" xfId="0"/>
    <xf numFmtId="0" fontId="3" fillId="0" borderId="2" pivotButton="0" quotePrefix="0" xfId="0"/>
    <xf numFmtId="0" fontId="6" fillId="0" borderId="2" pivotButton="0" quotePrefix="0" xfId="0"/>
    <xf numFmtId="0" fontId="9" fillId="0" borderId="2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12" fillId="0" borderId="0" applyAlignment="1" pivotButton="0" quotePrefix="0" xfId="0">
      <alignment horizontal="right"/>
    </xf>
    <xf numFmtId="0" fontId="13" fillId="0" borderId="0" pivotButton="0" quotePrefix="0" xfId="0"/>
    <xf numFmtId="164" fontId="13" fillId="0" borderId="0" applyAlignment="1" pivotButton="0" quotePrefix="0" xfId="0">
      <alignment horizontal="right"/>
    </xf>
    <xf numFmtId="0" fontId="0" fillId="4" borderId="3" pivotButton="0" quotePrefix="0" xfId="0"/>
    <xf numFmtId="0" fontId="2" fillId="4" borderId="3" pivotButton="0" quotePrefix="0" xfId="0"/>
    <xf numFmtId="0" fontId="12" fillId="4" borderId="3" applyAlignment="1" pivotButton="0" quotePrefix="0" xfId="0">
      <alignment horizontal="right"/>
    </xf>
    <xf numFmtId="164" fontId="2" fillId="4" borderId="3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0" fontId="6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  <xf numFmtId="0" fontId="14" fillId="0" borderId="0" pivotButton="0" quotePrefix="0" xfId="0"/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right"/>
    </xf>
    <xf numFmtId="0" fontId="3" fillId="5" borderId="0" pivotButton="0" quotePrefix="0" xfId="0"/>
    <xf numFmtId="0" fontId="0" fillId="0" borderId="2" applyAlignment="1" pivotButton="0" quotePrefix="0" xfId="0">
      <alignment horizontal="right"/>
    </xf>
    <xf numFmtId="0" fontId="4" fillId="2" borderId="2" applyAlignment="1" pivotButton="0" quotePrefix="0" xfId="0">
      <alignment horizontal="right"/>
    </xf>
    <xf numFmtId="0" fontId="6" fillId="0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0" fontId="0" fillId="0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right"/>
    </xf>
    <xf numFmtId="165" fontId="3" fillId="0" borderId="4" applyAlignment="1" pivotButton="0" quotePrefix="0" xfId="0">
      <alignment horizontal="right"/>
    </xf>
    <xf numFmtId="0" fontId="14" fillId="0" borderId="2" pivotButton="0" quotePrefix="0" xfId="0"/>
    <xf numFmtId="165" fontId="4" fillId="2" borderId="2" applyAlignment="1" pivotButton="0" quotePrefix="0" xfId="0">
      <alignment horizontal="right"/>
    </xf>
    <xf numFmtId="0" fontId="0" fillId="0" borderId="3" pivotButton="0" quotePrefix="0" xfId="0"/>
    <xf numFmtId="0" fontId="5" fillId="0" borderId="3" pivotButton="0" quotePrefix="0" xfId="0"/>
    <xf numFmtId="0" fontId="5" fillId="0" borderId="3" applyAlignment="1" pivotButton="0" quotePrefix="0" xfId="0">
      <alignment horizontal="right"/>
    </xf>
    <xf numFmtId="165" fontId="5" fillId="0" borderId="3" applyAlignment="1" pivotButton="0" quotePrefix="0" xfId="0">
      <alignment horizontal="right"/>
    </xf>
    <xf numFmtId="0" fontId="0" fillId="6" borderId="0" pivotButton="0" quotePrefix="0" xfId="0"/>
    <xf numFmtId="0" fontId="15" fillId="6" borderId="0" pivotButton="0" quotePrefix="0" xfId="0"/>
    <xf numFmtId="0" fontId="15" fillId="6" borderId="0" applyAlignment="1" pivotButton="0" quotePrefix="0" xfId="0">
      <alignment horizontal="right"/>
    </xf>
    <xf numFmtId="0" fontId="0" fillId="7" borderId="2" pivotButton="0" quotePrefix="0" xfId="0"/>
    <xf numFmtId="0" fontId="3" fillId="7" borderId="2" pivotButton="0" quotePrefix="0" xfId="0"/>
    <xf numFmtId="0" fontId="9" fillId="7" borderId="2" pivotButton="0" quotePrefix="0" xfId="0"/>
    <xf numFmtId="164" fontId="4" fillId="2" borderId="2" applyAlignment="1" pivotButton="0" quotePrefix="0" xfId="0">
      <alignment horizontal="right"/>
    </xf>
    <xf numFmtId="0" fontId="9" fillId="0" borderId="0" pivotButton="0" quotePrefix="0" xfId="0"/>
    <xf numFmtId="0" fontId="0" fillId="8" borderId="3" pivotButton="0" quotePrefix="0" xfId="0"/>
    <xf numFmtId="0" fontId="16" fillId="8" borderId="3" pivotButton="0" quotePrefix="0" xfId="0"/>
    <xf numFmtId="165" fontId="16" fillId="8" borderId="3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5" fontId="12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166" fontId="16" fillId="8" borderId="3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0" fontId="17" fillId="0" borderId="0" pivotButton="0" quotePrefix="0" xfId="0"/>
    <xf numFmtId="0" fontId="0" fillId="9" borderId="3" pivotButton="0" quotePrefix="0" xfId="0"/>
    <xf numFmtId="0" fontId="17" fillId="9" borderId="3" pivotButton="0" quotePrefix="0" xfId="0"/>
    <xf numFmtId="165" fontId="17" fillId="9" borderId="3" applyAlignment="1" pivotButton="0" quotePrefix="0" xfId="0">
      <alignment horizontal="right"/>
    </xf>
    <xf numFmtId="9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</cols>
  <sheetData>
    <row r="1">
      <c r="A1" s="1" t="inlineStr">
        <is>
          <t>PLUR Enterprise — Offer</t>
        </is>
      </c>
    </row>
    <row r="3">
      <c r="A3" s="2" t="inlineStr">
        <is>
          <t>Parameters (adjust yellow cells)</t>
        </is>
      </c>
    </row>
    <row r="4">
      <c r="B4" s="3" t="inlineStr">
        <is>
          <t>Number of seats</t>
        </is>
      </c>
      <c r="C4" s="4" t="n">
        <v>50</v>
      </c>
    </row>
    <row r="5">
      <c r="B5" s="3" t="inlineStr">
        <is>
          <t>List price per seat (EUR/month)</t>
        </is>
      </c>
      <c r="C5" s="5" t="n">
        <v>70</v>
      </c>
    </row>
    <row r="6">
      <c r="B6" s="3" t="inlineStr">
        <is>
          <t>Founding Partner discount</t>
        </is>
      </c>
      <c r="C6" s="6" t="n">
        <v>0.3</v>
      </c>
    </row>
    <row r="7">
      <c r="B7" s="3" t="inlineStr">
        <is>
          <t>Consulting rate (EUR/hour)</t>
        </is>
      </c>
      <c r="C7" s="5" t="n">
        <v>85</v>
      </c>
    </row>
    <row r="8">
      <c r="B8" s="3" t="inlineStr">
        <is>
          <t>Subscription commitment (months)</t>
        </is>
      </c>
      <c r="C8" s="4" t="n">
        <v>12</v>
      </c>
    </row>
    <row r="10">
      <c r="A10" s="7" t="inlineStr">
        <is>
          <t>Team</t>
        </is>
      </c>
    </row>
    <row r="11">
      <c r="B11" s="3" t="inlineStr">
        <is>
          <t>Gregor</t>
        </is>
      </c>
      <c r="C11" s="8" t="inlineStr">
        <is>
          <t>Project Director, Lead Dev</t>
        </is>
      </c>
    </row>
    <row r="12">
      <c r="B12" s="3" t="inlineStr">
        <is>
          <t>Tadej</t>
        </is>
      </c>
      <c r="C12" s="8" t="inlineStr">
        <is>
          <t>CTO, Tech Lead</t>
        </is>
      </c>
    </row>
    <row r="13">
      <c r="B13" s="3" t="inlineStr">
        <is>
          <t>Marko</t>
        </is>
      </c>
      <c r="C13" s="8" t="inlineStr">
        <is>
          <t>DevOps</t>
        </is>
      </c>
    </row>
    <row r="14">
      <c r="B14" s="3" t="inlineStr">
        <is>
          <t>Crt</t>
        </is>
      </c>
      <c r="C14" s="8" t="inlineStr">
        <is>
          <t>PM, Data Scientist</t>
        </is>
      </c>
    </row>
    <row r="16">
      <c r="A16" s="9" t="inlineStr">
        <is>
          <t>Timeline</t>
        </is>
      </c>
    </row>
    <row r="17">
      <c r="A17" s="10" t="n"/>
      <c r="B17" s="11" t="inlineStr">
        <is>
          <t>When</t>
        </is>
      </c>
      <c r="C17" s="10" t="n"/>
      <c r="D17" s="11" t="inlineStr">
        <is>
          <t>Milestone</t>
        </is>
      </c>
      <c r="E17" s="10" t="n"/>
      <c r="F17" s="11" t="inlineStr">
        <is>
          <t>Details</t>
        </is>
      </c>
      <c r="G17" s="10" t="n"/>
      <c r="H17" s="10" t="n"/>
    </row>
    <row r="18">
      <c r="A18" s="12" t="n"/>
      <c r="B18" s="13" t="inlineStr">
        <is>
          <t>Early May</t>
        </is>
      </c>
      <c r="C18" s="12" t="n"/>
      <c r="D18" s="14" t="inlineStr">
        <is>
          <t>Contract signed</t>
        </is>
      </c>
      <c r="E18" s="12" t="n"/>
      <c r="F18" s="15" t="inlineStr"/>
      <c r="G18" s="12" t="n"/>
      <c r="H18" s="12" t="n"/>
    </row>
    <row r="19">
      <c r="A19" s="12" t="n"/>
      <c r="B19" s="13" t="inlineStr">
        <is>
          <t>May W1–2</t>
        </is>
      </c>
      <c r="C19" s="12" t="n"/>
      <c r="D19" s="14" t="inlineStr">
        <is>
          <t>Integration + first 5 repos</t>
        </is>
      </c>
      <c r="E19" s="12" t="n"/>
      <c r="F19" s="15" t="inlineStr">
        <is>
          <t>GitLab SSO, deployment in parallel with scanning first 5 repos</t>
        </is>
      </c>
      <c r="G19" s="12" t="n"/>
      <c r="H19" s="12" t="n"/>
    </row>
    <row r="20">
      <c r="A20" s="12" t="n"/>
      <c r="B20" s="13" t="inlineStr">
        <is>
          <t>May W2–3</t>
        </is>
      </c>
      <c r="C20" s="12" t="n"/>
      <c r="D20" s="14" t="inlineStr">
        <is>
          <t>Feedback loop</t>
        </is>
      </c>
      <c r="E20" s="12" t="n"/>
      <c r="F20" s="15" t="inlineStr">
        <is>
          <t>Present results to tech leads, tune extraction pipeline</t>
        </is>
      </c>
      <c r="G20" s="12" t="n"/>
      <c r="H20" s="12" t="n"/>
    </row>
    <row r="21">
      <c r="A21" s="12" t="n"/>
      <c r="B21" s="13" t="inlineStr">
        <is>
          <t>May W3–4</t>
        </is>
      </c>
      <c r="C21" s="12" t="n"/>
      <c r="D21" s="14" t="inlineStr">
        <is>
          <t>Test run + next batch</t>
        </is>
      </c>
      <c r="E21" s="12" t="n"/>
      <c r="F21" s="15" t="inlineStr">
        <is>
          <t>Infra live, 10-15 users collecting memories. Scan next 10-15 repos with tuned pipeline.</t>
        </is>
      </c>
      <c r="G21" s="12" t="n"/>
      <c r="H21" s="12" t="n"/>
    </row>
    <row r="22">
      <c r="A22" s="12" t="n"/>
      <c r="B22" s="13" t="inlineStr">
        <is>
          <t>June</t>
        </is>
      </c>
      <c r="C22" s="12" t="n"/>
      <c r="D22" s="14" t="inlineStr">
        <is>
          <t>Onboarding month — subscription starts</t>
        </is>
      </c>
      <c r="E22" s="12" t="n"/>
      <c r="F22" s="15" t="inlineStr">
        <is>
          <t>50 users, setup workshop. 20-30 repos curated, packs deployed.</t>
        </is>
      </c>
      <c r="G22" s="12" t="n"/>
      <c r="H22" s="12" t="n"/>
    </row>
    <row r="23">
      <c r="A23" s="12" t="n"/>
      <c r="B23" s="13" t="inlineStr">
        <is>
          <t>June–July</t>
        </is>
      </c>
      <c r="C23" s="12" t="n"/>
      <c r="D23" s="14" t="inlineStr">
        <is>
          <t>Knowledge Engineering Phase A completes</t>
        </is>
      </c>
      <c r="E23" s="12" t="n"/>
      <c r="F23" s="15" t="inlineStr">
        <is>
          <t>Remaining active repos, pipeline refinement</t>
        </is>
      </c>
      <c r="G23" s="12" t="n"/>
      <c r="H23" s="12" t="n"/>
    </row>
    <row r="24">
      <c r="A24" s="12" t="n"/>
      <c r="B24" s="13" t="inlineStr">
        <is>
          <t>July–Aug</t>
        </is>
      </c>
      <c r="C24" s="12" t="n"/>
      <c r="D24" s="14" t="inlineStr">
        <is>
          <t>Knowledge Engineering Phase B</t>
        </is>
      </c>
      <c r="E24" s="12" t="n"/>
      <c r="F24" s="15" t="inlineStr">
        <is>
          <t>1,370 repos automated, new project hook, coverage report, handover</t>
        </is>
      </c>
      <c r="G24" s="12" t="n"/>
      <c r="H24" s="12" t="n"/>
    </row>
    <row r="25">
      <c r="A25" s="12" t="n"/>
      <c r="B25" s="13" t="inlineStr">
        <is>
          <t>Q3/Q4 2026</t>
        </is>
      </c>
      <c r="C25" s="12" t="n"/>
      <c r="D25" s="14" t="inlineStr">
        <is>
          <t>Datacore Enterprise (scoped together)</t>
        </is>
      </c>
      <c r="E25" s="12" t="n"/>
      <c r="F25" s="15" t="inlineStr">
        <is>
          <t>AI Development Team — Chief of Staff, Insight Agent, Onboarding Companion</t>
        </is>
      </c>
      <c r="G25" s="12" t="n"/>
      <c r="H25" s="12" t="n"/>
    </row>
    <row r="27">
      <c r="B27" s="16" t="inlineStr">
        <is>
          <t>Subscription starts at go-live (June 2026), not at contract signing.</t>
        </is>
      </c>
    </row>
    <row r="28">
      <c r="B28" s="17" t="inlineStr">
        <is>
          <t>Integration + test run (May) included — no subscription charges before go-live.</t>
        </is>
      </c>
    </row>
    <row r="30">
      <c r="A30" s="9" t="inlineStr">
        <is>
          <t>1. PLUR ENTERPRISE — Organizational Learning (subscription)</t>
        </is>
      </c>
    </row>
    <row r="31">
      <c r="B31" s="18" t="inlineStr">
        <is>
          <t>List price per seat</t>
        </is>
      </c>
      <c r="H31" s="19">
        <f>$C$5</f>
        <v/>
      </c>
    </row>
    <row r="32">
      <c r="B32" s="20" t="inlineStr">
        <is>
          <t>Founding Partner price per seat</t>
        </is>
      </c>
      <c r="H32" s="21">
        <f>$C$5*(1-$C$6)</f>
        <v/>
      </c>
    </row>
    <row r="33">
      <c r="A33" s="22" t="n"/>
      <c r="B33" s="23" t="inlineStr">
        <is>
          <t>Monthly subscription</t>
        </is>
      </c>
      <c r="C33" s="22" t="n"/>
      <c r="D33" s="22" t="n"/>
      <c r="E33" s="22" t="n"/>
      <c r="F33" s="24" t="inlineStr">
        <is>
          <t>seats × price =</t>
        </is>
      </c>
      <c r="G33" s="22" t="n"/>
      <c r="H33" s="25">
        <f>$C$4*H32</f>
        <v/>
      </c>
    </row>
    <row r="34">
      <c r="B34" s="3" t="inlineStr">
        <is>
          <t>Annual commitment</t>
        </is>
      </c>
      <c r="H34" s="26">
        <f>H33*$C$8</f>
        <v/>
      </c>
    </row>
    <row r="35">
      <c r="B35" s="17" t="inlineStr">
        <is>
          <t>Annual savings vs list price</t>
        </is>
      </c>
      <c r="H35" s="27">
        <f>$C$4*$C$5*$C$6*$C$8</f>
        <v/>
      </c>
    </row>
    <row r="37">
      <c r="A37" s="3" t="inlineStr">
        <is>
          <t>What’s included:</t>
        </is>
      </c>
    </row>
    <row r="38">
      <c r="A38" s="28" t="n">
        <v>1</v>
      </c>
      <c r="B38" s="14" t="inlineStr">
        <is>
          <t>PLUR Enterprise server (HTTP/SSE MCP, multi-user)</t>
        </is>
      </c>
      <c r="C38" s="12" t="n"/>
      <c r="D38" s="12" t="n"/>
      <c r="E38" s="12" t="n"/>
      <c r="F38" s="12" t="n"/>
      <c r="G38" s="12" t="n"/>
      <c r="H38" s="12" t="n"/>
    </row>
    <row r="39">
      <c r="A39" s="28" t="n">
        <v>2</v>
      </c>
      <c r="B39" s="14" t="inlineStr">
        <is>
          <t>PostgreSQL + AGE (knowledge graph) + pgvector (semantic search)</t>
        </is>
      </c>
      <c r="C39" s="12" t="n"/>
      <c r="D39" s="12" t="n"/>
      <c r="E39" s="12" t="n"/>
      <c r="F39" s="12" t="n"/>
      <c r="G39" s="12" t="n"/>
      <c r="H39" s="12" t="n"/>
    </row>
    <row r="40">
      <c r="A40" s="28" t="n">
        <v>3</v>
      </c>
      <c r="B40" s="14" t="inlineStr">
        <is>
          <t>SSO integration (configured for your identity provider)</t>
        </is>
      </c>
      <c r="C40" s="12" t="n"/>
      <c r="D40" s="12" t="n"/>
      <c r="E40" s="12" t="n"/>
      <c r="F40" s="12" t="n"/>
      <c r="G40" s="12" t="n"/>
      <c r="H40" s="12" t="n"/>
    </row>
    <row r="41">
      <c r="A41" s="28" t="n">
        <v>4</v>
      </c>
      <c r="B41" s="14" t="inlineStr">
        <is>
          <t>Scope-based access control + role-level permissions</t>
        </is>
      </c>
      <c r="C41" s="12" t="n"/>
      <c r="D41" s="12" t="n"/>
      <c r="E41" s="12" t="n"/>
      <c r="F41" s="12" t="n"/>
      <c r="G41" s="12" t="n"/>
      <c r="H41" s="12" t="n"/>
    </row>
    <row r="42">
      <c r="A42" s="28" t="n">
        <v>5</v>
      </c>
      <c r="B42" s="14" t="inlineStr">
        <is>
          <t>MCP tool security (allowlist, write enforcement, audit)</t>
        </is>
      </c>
      <c r="C42" s="12" t="n"/>
      <c r="D42" s="12" t="n"/>
      <c r="E42" s="12" t="n"/>
      <c r="F42" s="12" t="n"/>
      <c r="G42" s="12" t="n"/>
      <c r="H42" s="12" t="n"/>
    </row>
    <row r="43">
      <c r="A43" s="28" t="n">
        <v>6</v>
      </c>
      <c r="B43" s="14" t="inlineStr">
        <is>
          <t>Admin dashboard (usage, health, audit log)</t>
        </is>
      </c>
      <c r="C43" s="12" t="n"/>
      <c r="D43" s="12" t="n"/>
      <c r="E43" s="12" t="n"/>
      <c r="F43" s="12" t="n"/>
      <c r="G43" s="12" t="n"/>
      <c r="H43" s="12" t="n"/>
    </row>
    <row r="44">
      <c r="A44" s="28" t="n">
        <v>7</v>
      </c>
      <c r="B44" s="14" t="inlineStr">
        <is>
          <t>Deployment, TLS, CI/CD, monitoring &amp; alerting</t>
        </is>
      </c>
      <c r="C44" s="12" t="n"/>
      <c r="D44" s="12" t="n"/>
      <c r="E44" s="12" t="n"/>
      <c r="F44" s="12" t="n"/>
      <c r="G44" s="12" t="n"/>
      <c r="H44" s="12" t="n"/>
    </row>
    <row r="45">
      <c r="A45" s="28" t="n">
        <v>8</v>
      </c>
      <c r="B45" s="14" t="inlineStr">
        <is>
          <t>Security patches, dependency updates, platform upgrades</t>
        </is>
      </c>
      <c r="C45" s="12" t="n"/>
      <c r="D45" s="12" t="n"/>
      <c r="E45" s="12" t="n"/>
      <c r="F45" s="12" t="n"/>
      <c r="G45" s="12" t="n"/>
      <c r="H45" s="12" t="n"/>
    </row>
    <row r="46">
      <c r="A46" s="28" t="n">
        <v>9</v>
      </c>
      <c r="B46" s="14" t="inlineStr">
        <is>
          <t>Infrastructure hosting &amp; AI compute (included)</t>
        </is>
      </c>
      <c r="C46" s="12" t="n"/>
      <c r="D46" s="12" t="n"/>
      <c r="E46" s="12" t="n"/>
      <c r="F46" s="12" t="n"/>
      <c r="G46" s="12" t="n"/>
      <c r="H46" s="12" t="n"/>
    </row>
    <row r="47">
      <c r="A47" s="28" t="n">
        <v>10</v>
      </c>
      <c r="B47" s="14" t="inlineStr">
        <is>
          <t>Priority bug fixes (&lt; 24h response, &lt; 72h resolution)</t>
        </is>
      </c>
      <c r="C47" s="12" t="n"/>
      <c r="D47" s="12" t="n"/>
      <c r="E47" s="12" t="n"/>
      <c r="F47" s="12" t="n"/>
      <c r="G47" s="12" t="n"/>
      <c r="H47" s="12" t="n"/>
    </row>
    <row r="48">
      <c r="A48" s="28" t="n">
        <v>11</v>
      </c>
      <c r="B48" s="14" t="inlineStr">
        <is>
          <t>Weekly check-in + quarterly strategic review</t>
        </is>
      </c>
      <c r="C48" s="12" t="n"/>
      <c r="D48" s="12" t="n"/>
      <c r="E48" s="12" t="n"/>
      <c r="F48" s="12" t="n"/>
      <c r="G48" s="12" t="n"/>
      <c r="H48" s="12" t="n"/>
    </row>
    <row r="50">
      <c r="A50" s="3" t="inlineStr">
        <is>
          <t>Market context:</t>
        </is>
      </c>
    </row>
    <row r="51">
      <c r="A51" s="12" t="n"/>
      <c r="B51" s="14" t="inlineStr">
        <is>
          <t>GitHub Copilot Enterprise</t>
        </is>
      </c>
      <c r="C51" s="12" t="n"/>
      <c r="D51" s="12" t="n"/>
      <c r="E51" s="29" t="inlineStr">
        <is>
          <t>$39-60/seat/mo</t>
        </is>
      </c>
      <c r="F51" s="15" t="inlineStr">
        <is>
          <t>Code completion, 28-day memory, no learning</t>
        </is>
      </c>
      <c r="G51" s="12" t="n"/>
      <c r="H51" s="12" t="n"/>
    </row>
    <row r="52">
      <c r="A52" s="12" t="n"/>
      <c r="B52" s="14" t="inlineStr">
        <is>
          <t>Augment Code Standard</t>
        </is>
      </c>
      <c r="C52" s="12" t="n"/>
      <c r="D52" s="12" t="n"/>
      <c r="E52" s="29" t="inlineStr">
        <is>
          <t>$60/seat/mo</t>
        </is>
      </c>
      <c r="F52" s="15" t="inlineStr">
        <is>
          <t>Project memory, no correction-based learning</t>
        </is>
      </c>
      <c r="G52" s="12" t="n"/>
      <c r="H52" s="12" t="n"/>
    </row>
    <row r="53">
      <c r="A53" s="12" t="n"/>
      <c r="B53" s="14" t="inlineStr">
        <is>
          <t>Sourcegraph Cody Enterprise</t>
        </is>
      </c>
      <c r="C53" s="12" t="n"/>
      <c r="D53" s="12" t="n"/>
      <c r="E53" s="29" t="inlineStr">
        <is>
          <t>$59/seat/mo</t>
        </is>
      </c>
      <c r="F53" s="15" t="inlineStr">
        <is>
          <t>Code search, no persistent memory</t>
        </is>
      </c>
      <c r="G53" s="12" t="n"/>
      <c r="H53" s="12" t="n"/>
    </row>
    <row r="54">
      <c r="A54" s="12" t="n"/>
      <c r="B54" s="14" t="inlineStr">
        <is>
          <t>JetBrains AI Enterprise</t>
        </is>
      </c>
      <c r="C54" s="12" t="n"/>
      <c r="D54" s="12" t="n"/>
      <c r="E54" s="29" t="inlineStr">
        <is>
          <t>$60+/seat/mo</t>
        </is>
      </c>
      <c r="F54" s="15" t="inlineStr">
        <is>
          <t>IDE AI features, no org memory</t>
        </is>
      </c>
      <c r="G54" s="12" t="n"/>
      <c r="H54" s="12" t="n"/>
    </row>
    <row r="55">
      <c r="A55" s="12" t="n"/>
      <c r="B55" s="14" t="inlineStr">
        <is>
          <t>PLUR Enterprise (list)</t>
        </is>
      </c>
      <c r="C55" s="12" t="n"/>
      <c r="D55" s="12" t="n"/>
      <c r="E55" s="29" t="inlineStr">
        <is>
          <t>€70/seat/mo</t>
        </is>
      </c>
      <c r="F55" s="15" t="inlineStr">
        <is>
          <t>Persistent org learning, correction-based, knowledge graph</t>
        </is>
      </c>
      <c r="G55" s="12" t="n"/>
      <c r="H55" s="12" t="n"/>
    </row>
    <row r="56">
      <c r="A56" s="12" t="n"/>
      <c r="B56" s="14" t="inlineStr">
        <is>
          <t>PLUR Enterprise (Founding Partner)</t>
        </is>
      </c>
      <c r="C56" s="12" t="n"/>
      <c r="D56" s="12" t="n"/>
      <c r="E56" s="29" t="inlineStr">
        <is>
          <t>€49/seat/mo</t>
        </is>
      </c>
      <c r="F56" s="15" t="inlineStr">
        <is>
          <t>Same — 30% Founding Partner discount</t>
        </is>
      </c>
      <c r="G56" s="12" t="n"/>
      <c r="H56" s="12" t="n"/>
    </row>
    <row r="59">
      <c r="A59" s="9" t="inlineStr">
        <is>
          <t>2. KNOWLEDGE ENGINEERING (one-time project)</t>
        </is>
      </c>
    </row>
    <row r="60">
      <c r="A60" s="30" t="inlineStr">
        <is>
          <t>Scan your codebase, extract conventions, build your custom ingest pipeline</t>
        </is>
      </c>
    </row>
    <row r="61">
      <c r="A61" s="31" t="inlineStr">
        <is>
          <t>#</t>
        </is>
      </c>
      <c r="B61" s="31" t="inlineStr">
        <is>
          <t>Deliverable</t>
        </is>
      </c>
      <c r="C61" s="32" t="inlineStr">
        <is>
          <t>Gregor</t>
        </is>
      </c>
      <c r="D61" s="32" t="inlineStr">
        <is>
          <t>Tadej</t>
        </is>
      </c>
      <c r="E61" s="32" t="inlineStr">
        <is>
          <t>Marko</t>
        </is>
      </c>
      <c r="F61" s="32" t="inlineStr">
        <is>
          <t>Crt</t>
        </is>
      </c>
      <c r="G61" s="32" t="inlineStr">
        <is>
          <t>Total h</t>
        </is>
      </c>
      <c r="H61" s="32" t="inlineStr">
        <is>
          <t>Cost (EUR)</t>
        </is>
      </c>
    </row>
    <row r="62">
      <c r="A62" s="33" t="inlineStr">
        <is>
          <t>Integration — GitLab &amp; Deployment</t>
        </is>
      </c>
    </row>
    <row r="63">
      <c r="A63" s="28" t="n">
        <v>1</v>
      </c>
      <c r="B63" s="14" t="inlineStr">
        <is>
          <t>GitLab OAuth2/OIDC + PKCE integration</t>
        </is>
      </c>
      <c r="C63" s="34" t="n"/>
      <c r="D63" s="35" t="n">
        <v>16</v>
      </c>
      <c r="E63" s="34" t="n"/>
      <c r="F63" s="34" t="n"/>
      <c r="G63" s="36">
        <f>SUM(C63:F63)</f>
        <v/>
      </c>
      <c r="H63" s="37">
        <f>G63*$C$7</f>
        <v/>
      </c>
    </row>
    <row r="64">
      <c r="A64" s="28" t="n">
        <v>2</v>
      </c>
      <c r="B64" s="14" t="inlineStr">
        <is>
          <t>GitLab group/project membership sync &amp; webhooks</t>
        </is>
      </c>
      <c r="C64" s="34" t="n"/>
      <c r="D64" s="35" t="n">
        <v>12</v>
      </c>
      <c r="E64" s="34" t="n"/>
      <c r="F64" s="34" t="n"/>
      <c r="G64" s="36">
        <f>SUM(C64:F64)</f>
        <v/>
      </c>
      <c r="H64" s="37">
        <f>G64*$C$7</f>
        <v/>
      </c>
    </row>
    <row r="65">
      <c r="A65" s="28" t="n">
        <v>3</v>
      </c>
      <c r="B65" s="14" t="inlineStr">
        <is>
          <t>Deployment &amp; configuration for your GitLab instance</t>
        </is>
      </c>
      <c r="C65" s="34" t="n"/>
      <c r="D65" s="35" t="n">
        <v>4</v>
      </c>
      <c r="E65" s="35" t="n">
        <v>8</v>
      </c>
      <c r="F65" s="34" t="n"/>
      <c r="G65" s="36">
        <f>SUM(C65:F65)</f>
        <v/>
      </c>
      <c r="H65" s="37">
        <f>G65*$C$7</f>
        <v/>
      </c>
    </row>
    <row r="66">
      <c r="A66" s="28" t="n">
        <v>4</v>
      </c>
      <c r="B66" s="14" t="inlineStr">
        <is>
          <t>Setup workshop (all hands, 2-3h)</t>
        </is>
      </c>
      <c r="C66" s="35" t="n">
        <v>4</v>
      </c>
      <c r="D66" s="34" t="n"/>
      <c r="E66" s="34" t="n"/>
      <c r="F66" s="35" t="n">
        <v>4</v>
      </c>
      <c r="G66" s="36">
        <f>SUM(C66:F66)</f>
        <v/>
      </c>
      <c r="H66" s="37">
        <f>G66*$C$7</f>
        <v/>
      </c>
    </row>
    <row r="67">
      <c r="A67" s="28" t="n">
        <v>5</v>
      </c>
      <c r="B67" s="14" t="inlineStr">
        <is>
          <t>Project management &amp; weekly check-ins (across all phases)</t>
        </is>
      </c>
      <c r="C67" s="34" t="n"/>
      <c r="D67" s="34" t="n"/>
      <c r="E67" s="34" t="n"/>
      <c r="F67" s="35" t="n">
        <v>16</v>
      </c>
      <c r="G67" s="36">
        <f>SUM(C67:F67)</f>
        <v/>
      </c>
      <c r="H67" s="37">
        <f>G67*$C$7</f>
        <v/>
      </c>
    </row>
    <row r="68">
      <c r="A68" s="38" t="n"/>
      <c r="B68" s="39" t="inlineStr">
        <is>
          <t>Subtotal — Integration</t>
        </is>
      </c>
      <c r="C68" s="40">
        <f>SUM(C63:C67)</f>
        <v/>
      </c>
      <c r="D68" s="40">
        <f>SUM(D63:D67)</f>
        <v/>
      </c>
      <c r="E68" s="40">
        <f>SUM(E63:E67)</f>
        <v/>
      </c>
      <c r="F68" s="40">
        <f>SUM(F63:F67)</f>
        <v/>
      </c>
      <c r="G68" s="40">
        <f>SUM(G63:G67)</f>
        <v/>
      </c>
      <c r="H68" s="41">
        <f>SUM(H63:H67)</f>
        <v/>
      </c>
    </row>
    <row r="69">
      <c r="A69" s="12" t="n"/>
      <c r="B69" s="42" t="inlineStr">
        <is>
          <t>AI compute (tokens)</t>
        </is>
      </c>
      <c r="C69" s="12" t="n"/>
      <c r="D69" s="12" t="n"/>
      <c r="E69" s="12" t="n"/>
      <c r="F69" s="12" t="n"/>
      <c r="G69" s="12" t="n"/>
      <c r="H69" s="43" t="n">
        <v>200</v>
      </c>
    </row>
    <row r="71">
      <c r="A71" s="33" t="inlineStr">
        <is>
          <t>Phase A — 30 Active Repos (high-touch curation)</t>
        </is>
      </c>
    </row>
    <row r="72">
      <c r="A72" s="28" t="n">
        <v>1</v>
      </c>
      <c r="B72" s="14" t="inlineStr">
        <is>
          <t>Extraction strategy &amp; planning with your tech leads</t>
        </is>
      </c>
      <c r="C72" s="34" t="n"/>
      <c r="D72" s="34" t="n"/>
      <c r="E72" s="34" t="n"/>
      <c r="F72" s="35" t="n">
        <v>8</v>
      </c>
      <c r="G72" s="36">
        <f>SUM(C72:F72)</f>
        <v/>
      </c>
      <c r="H72" s="37">
        <f>G72*$C$7</f>
        <v/>
      </c>
    </row>
    <row r="73">
      <c r="A73" s="28" t="n">
        <v>2</v>
      </c>
      <c r="B73" s="14" t="inlineStr">
        <is>
          <t>Convention extraction &amp; analysis (30 repos, multiple passes)</t>
        </is>
      </c>
      <c r="C73" s="35" t="n">
        <v>4</v>
      </c>
      <c r="D73" s="34" t="n"/>
      <c r="E73" s="34" t="n"/>
      <c r="F73" s="35" t="n">
        <v>24</v>
      </c>
      <c r="G73" s="36">
        <f>SUM(C73:F73)</f>
        <v/>
      </c>
      <c r="H73" s="37">
        <f>G73*$C$7</f>
        <v/>
      </c>
    </row>
    <row r="74">
      <c r="A74" s="28" t="n">
        <v>3</v>
      </c>
      <c r="B74" s="14" t="inlineStr">
        <is>
          <t>Engram generation + quality tuning with your tech leads</t>
        </is>
      </c>
      <c r="C74" s="35" t="n">
        <v>8</v>
      </c>
      <c r="D74" s="34" t="n"/>
      <c r="E74" s="34" t="n"/>
      <c r="F74" s="35" t="n">
        <v>16</v>
      </c>
      <c r="G74" s="36">
        <f>SUM(C74:F74)</f>
        <v/>
      </c>
      <c r="H74" s="37">
        <f>G74*$C$7</f>
        <v/>
      </c>
    </row>
    <row r="75">
      <c r="A75" s="28" t="n">
        <v>4</v>
      </c>
      <c r="B75" s="14" t="inlineStr">
        <is>
          <t>Knowledge pack curation (per-project + per-group)</t>
        </is>
      </c>
      <c r="C75" s="35" t="n">
        <v>4</v>
      </c>
      <c r="D75" s="34" t="n"/>
      <c r="E75" s="34" t="n"/>
      <c r="F75" s="35" t="n">
        <v>12</v>
      </c>
      <c r="G75" s="36">
        <f>SUM(C75:F75)</f>
        <v/>
      </c>
      <c r="H75" s="37">
        <f>G75*$C$7</f>
        <v/>
      </c>
    </row>
    <row r="76">
      <c r="A76" s="28" t="n">
        <v>5</v>
      </c>
      <c r="B76" s="14" t="inlineStr">
        <is>
          <t>Custom ingest pipeline development (reusable for Phase B)</t>
        </is>
      </c>
      <c r="C76" s="34" t="n"/>
      <c r="D76" s="35" t="n">
        <v>16</v>
      </c>
      <c r="E76" s="34" t="n"/>
      <c r="F76" s="35" t="n">
        <v>4</v>
      </c>
      <c r="G76" s="36">
        <f>SUM(C76:F76)</f>
        <v/>
      </c>
      <c r="H76" s="37">
        <f>G76*$C$7</f>
        <v/>
      </c>
    </row>
    <row r="77">
      <c r="A77" s="28" t="n">
        <v>6</v>
      </c>
      <c r="B77" s="14" t="inlineStr">
        <is>
          <t>Phase report &amp; deliverables review</t>
        </is>
      </c>
      <c r="C77" s="34" t="n"/>
      <c r="D77" s="34" t="n"/>
      <c r="E77" s="34" t="n"/>
      <c r="F77" s="35" t="n">
        <v>6</v>
      </c>
      <c r="G77" s="36">
        <f>SUM(C77:F77)</f>
        <v/>
      </c>
      <c r="H77" s="37">
        <f>G77*$C$7</f>
        <v/>
      </c>
    </row>
    <row r="78">
      <c r="A78" s="38" t="n"/>
      <c r="B78" s="39" t="inlineStr">
        <is>
          <t>Subtotal — Phase A</t>
        </is>
      </c>
      <c r="C78" s="40">
        <f>SUM(C72:C77)</f>
        <v/>
      </c>
      <c r="D78" s="40">
        <f>SUM(D72:D77)</f>
        <v/>
      </c>
      <c r="E78" s="40">
        <f>SUM(E72:E77)</f>
        <v/>
      </c>
      <c r="F78" s="40">
        <f>SUM(F72:F77)</f>
        <v/>
      </c>
      <c r="G78" s="40">
        <f>SUM(G72:G77)</f>
        <v/>
      </c>
      <c r="H78" s="41">
        <f>SUM(H72:H77)</f>
        <v/>
      </c>
    </row>
    <row r="79">
      <c r="A79" s="12" t="n"/>
      <c r="B79" s="42" t="inlineStr">
        <is>
          <t>AI compute (tokens)</t>
        </is>
      </c>
      <c r="C79" s="12" t="n"/>
      <c r="D79" s="12" t="n"/>
      <c r="E79" s="12" t="n"/>
      <c r="F79" s="12" t="n"/>
      <c r="G79" s="12" t="n"/>
      <c r="H79" s="43" t="n">
        <v>600</v>
      </c>
    </row>
    <row r="81">
      <c r="A81" s="33" t="inlineStr">
        <is>
          <t>Phase B — 1,370 Repos (automated processing)</t>
        </is>
      </c>
    </row>
    <row r="82">
      <c r="A82" s="28" t="n">
        <v>1</v>
      </c>
      <c r="B82" s="14" t="inlineStr">
        <is>
          <t>Batch processing — run pipeline on all remaining repos</t>
        </is>
      </c>
      <c r="C82" s="34" t="n"/>
      <c r="D82" s="34" t="n"/>
      <c r="E82" s="34" t="n"/>
      <c r="F82" s="35" t="n">
        <v>12</v>
      </c>
      <c r="G82" s="36">
        <f>SUM(C82:F82)</f>
        <v/>
      </c>
      <c r="H82" s="37">
        <f>G82*$C$7</f>
        <v/>
      </c>
    </row>
    <row r="83">
      <c r="A83" s="28" t="n">
        <v>2</v>
      </c>
      <c r="B83" s="14" t="inlineStr">
        <is>
          <t>Quality review &amp; outlier handling</t>
        </is>
      </c>
      <c r="C83" s="35" t="n">
        <v>4</v>
      </c>
      <c r="D83" s="34" t="n"/>
      <c r="E83" s="34" t="n"/>
      <c r="F83" s="35" t="n">
        <v>8</v>
      </c>
      <c r="G83" s="36">
        <f>SUM(C83:F83)</f>
        <v/>
      </c>
      <c r="H83" s="37">
        <f>G83*$C$7</f>
        <v/>
      </c>
    </row>
    <row r="84">
      <c r="A84" s="28" t="n">
        <v>3</v>
      </c>
      <c r="B84" s="14" t="inlineStr">
        <is>
          <t>New project hook (auto-extraction on repo creation via CI)</t>
        </is>
      </c>
      <c r="C84" s="34" t="n"/>
      <c r="D84" s="35" t="n">
        <v>8</v>
      </c>
      <c r="E84" s="35" t="n">
        <v>8</v>
      </c>
      <c r="F84" s="34" t="n"/>
      <c r="G84" s="36">
        <f>SUM(C84:F84)</f>
        <v/>
      </c>
      <c r="H84" s="37">
        <f>G84*$C$7</f>
        <v/>
      </c>
    </row>
    <row r="85">
      <c r="A85" s="28" t="n">
        <v>4</v>
      </c>
      <c r="B85" s="14" t="inlineStr">
        <is>
          <t>Coverage report &amp; final handover</t>
        </is>
      </c>
      <c r="C85" s="34" t="n"/>
      <c r="D85" s="34" t="n"/>
      <c r="E85" s="34" t="n"/>
      <c r="F85" s="35" t="n">
        <v>6</v>
      </c>
      <c r="G85" s="36">
        <f>SUM(C85:F85)</f>
        <v/>
      </c>
      <c r="H85" s="37">
        <f>G85*$C$7</f>
        <v/>
      </c>
    </row>
    <row r="86">
      <c r="A86" s="38" t="n"/>
      <c r="B86" s="39" t="inlineStr">
        <is>
          <t>Subtotal — Phase B</t>
        </is>
      </c>
      <c r="C86" s="40">
        <f>SUM(C82:C85)</f>
        <v/>
      </c>
      <c r="D86" s="40">
        <f>SUM(D82:D85)</f>
        <v/>
      </c>
      <c r="E86" s="40">
        <f>SUM(E82:E85)</f>
        <v/>
      </c>
      <c r="F86" s="40">
        <f>SUM(F82:F85)</f>
        <v/>
      </c>
      <c r="G86" s="40">
        <f>SUM(G82:G85)</f>
        <v/>
      </c>
      <c r="H86" s="41">
        <f>SUM(H82:H85)</f>
        <v/>
      </c>
    </row>
    <row r="87">
      <c r="A87" s="12" t="n"/>
      <c r="B87" s="42" t="inlineStr">
        <is>
          <t>AI compute (tokens)</t>
        </is>
      </c>
      <c r="C87" s="12" t="n"/>
      <c r="D87" s="12" t="n"/>
      <c r="E87" s="12" t="n"/>
      <c r="F87" s="12" t="n"/>
      <c r="G87" s="12" t="n"/>
      <c r="H87" s="43" t="n">
        <v>400</v>
      </c>
    </row>
    <row r="89">
      <c r="A89" s="44" t="n"/>
      <c r="B89" s="45" t="inlineStr">
        <is>
          <t>KNOWLEDGE ENGINEERING TOTAL</t>
        </is>
      </c>
      <c r="C89" s="44" t="n"/>
      <c r="D89" s="44" t="n"/>
      <c r="E89" s="44" t="n"/>
      <c r="F89" s="44" t="n"/>
      <c r="G89" s="46">
        <f>G68+G78+G86</f>
        <v/>
      </c>
      <c r="H89" s="47">
        <f>H68+H69+H78+H79+H86+H87</f>
        <v/>
      </c>
    </row>
    <row r="91">
      <c r="A91" s="3" t="inlineStr">
        <is>
          <t>Deliverables:</t>
        </is>
      </c>
    </row>
    <row r="92">
      <c r="B92" s="8" t="inlineStr">
        <is>
          <t xml:space="preserve">  Custom ingest pipeline tuned to your codebase (reusable, automated)</t>
        </is>
      </c>
    </row>
    <row r="93">
      <c r="B93" s="8" t="inlineStr">
        <is>
          <t xml:space="preserve">  30 active repos: curated knowledge packs, reviewed with your tech leads</t>
        </is>
      </c>
    </row>
    <row r="94">
      <c r="B94" s="8" t="inlineStr">
        <is>
          <t xml:space="preserve">  1,370 repos: auto-processed, coverage report</t>
        </is>
      </c>
    </row>
    <row r="95">
      <c r="B95" s="8" t="inlineStr">
        <is>
          <t xml:space="preserve">  New project hook: every new repo auto-bootstrapped on creation</t>
        </is>
      </c>
    </row>
    <row r="98">
      <c r="A98" s="9" t="inlineStr">
        <is>
          <t>3. DATACORE ENTERPRISE — AI Development Team (Founding Partnership continues)</t>
        </is>
      </c>
    </row>
    <row r="99">
      <c r="A99" s="30" t="inlineStr">
        <is>
          <t>Autonomous AI agents powered by your organizational learning. Separate product, same partnership. Scoped together after PLUR is in place.</t>
        </is>
      </c>
    </row>
    <row r="101">
      <c r="A101" s="48" t="n"/>
      <c r="B101" s="49" t="inlineStr">
        <is>
          <t>AI Role</t>
        </is>
      </c>
      <c r="C101" s="48" t="n"/>
      <c r="D101" s="48" t="n"/>
      <c r="E101" s="48" t="n"/>
      <c r="F101" s="49" t="inlineStr">
        <is>
          <t>Description</t>
        </is>
      </c>
      <c r="G101" s="48" t="n"/>
      <c r="H101" s="50" t="inlineStr">
        <is>
          <t>Indicative</t>
        </is>
      </c>
    </row>
    <row r="102">
      <c r="A102" s="51" t="n"/>
      <c r="B102" s="52" t="inlineStr">
        <is>
          <t>AI Chief of Staff</t>
        </is>
      </c>
      <c r="C102" s="51" t="n"/>
      <c r="D102" s="51" t="n"/>
      <c r="E102" s="51" t="n"/>
      <c r="F102" s="53" t="inlineStr">
        <is>
          <t>Org-wide operational intelligence — answers any question about your repos, decisions, team activity</t>
        </is>
      </c>
      <c r="G102" s="12" t="n"/>
      <c r="H102" s="54" t="n">
        <v>800</v>
      </c>
    </row>
    <row r="103">
      <c r="A103" s="51" t="n"/>
      <c r="B103" s="52" t="inlineStr">
        <is>
          <t>Insight Agent</t>
        </is>
      </c>
      <c r="C103" s="51" t="n"/>
      <c r="D103" s="51" t="n"/>
      <c r="E103" s="51" t="n"/>
      <c r="F103" s="53" t="inlineStr">
        <is>
          <t>Proactive pattern detection — surfaces what you didn’t know to ask across teams</t>
        </is>
      </c>
      <c r="G103" s="12" t="n"/>
      <c r="H103" s="54" t="n">
        <v>600</v>
      </c>
    </row>
    <row r="104">
      <c r="A104" s="51" t="n"/>
      <c r="B104" s="52" t="inlineStr">
        <is>
          <t>Onboarding Companion</t>
        </is>
      </c>
      <c r="C104" s="51" t="n"/>
      <c r="D104" s="51" t="n"/>
      <c r="E104" s="51" t="n"/>
      <c r="F104" s="53" t="inlineStr">
        <is>
          <t>Interactive guide for new developers — built from your actual conventions</t>
        </is>
      </c>
      <c r="G104" s="12" t="n"/>
      <c r="H104" s="54" t="n">
        <v>400</v>
      </c>
    </row>
    <row r="106">
      <c r="B106" s="55" t="inlineStr">
        <is>
          <t>Pricing model: monthly per AI role. Exact scope determined together after Phase 1+2.</t>
        </is>
      </c>
    </row>
    <row r="107">
      <c r="B107" s="55" t="inlineStr">
        <is>
          <t>Founding Partnership discount applies to Datacore on same terms as PLUR.</t>
        </is>
      </c>
    </row>
    <row r="110">
      <c r="A110" s="9" t="inlineStr">
        <is>
          <t>FIRST-YEAR COMMITMENT</t>
        </is>
      </c>
    </row>
    <row r="111">
      <c r="A111" s="12" t="n"/>
      <c r="B111" s="14" t="inlineStr">
        <is>
          <t>PLUR Enterprise subscription (12 months, Founding Partner rate)</t>
        </is>
      </c>
      <c r="C111" s="12" t="n"/>
      <c r="D111" s="12" t="n"/>
      <c r="E111" s="12" t="n"/>
      <c r="F111" s="12" t="n"/>
      <c r="G111" s="12" t="n"/>
      <c r="H111" s="37">
        <f>H34</f>
        <v/>
      </c>
    </row>
    <row r="112">
      <c r="A112" s="12" t="n"/>
      <c r="B112" s="14" t="inlineStr">
        <is>
          <t>Knowledge Engineering (custom project, standard rate)</t>
        </is>
      </c>
      <c r="C112" s="12" t="n"/>
      <c r="D112" s="12" t="n"/>
      <c r="E112" s="12" t="n"/>
      <c r="F112" s="12" t="n"/>
      <c r="G112" s="12" t="n"/>
      <c r="H112" s="37">
        <f>H89</f>
        <v/>
      </c>
    </row>
    <row r="113">
      <c r="A113" s="56" t="n"/>
      <c r="B113" s="57" t="inlineStr">
        <is>
          <t>FIRST-YEAR TOTAL</t>
        </is>
      </c>
      <c r="C113" s="56" t="n"/>
      <c r="D113" s="56" t="n"/>
      <c r="E113" s="56" t="n"/>
      <c r="F113" s="56" t="n"/>
      <c r="G113" s="56" t="n"/>
      <c r="H113" s="58">
        <f>H111+H112</f>
        <v/>
      </c>
    </row>
    <row r="114">
      <c r="B114" s="18" t="inlineStr">
        <is>
          <t>Monthly equivalent</t>
        </is>
      </c>
      <c r="H114" s="59">
        <f>H113/$C$8</f>
        <v/>
      </c>
    </row>
    <row r="115">
      <c r="B115" s="18" t="inlineStr">
        <is>
          <t>vs list price (no Founding Partner discount)</t>
        </is>
      </c>
      <c r="H115" s="60">
        <f>$C$4*$C$5*$C$8+H89</f>
        <v/>
      </c>
    </row>
    <row r="116">
      <c r="B116" s="16" t="inlineStr">
        <is>
          <t>Your savings as Founding Partner</t>
        </is>
      </c>
      <c r="H116" s="61">
        <f>H115-H113</f>
        <v/>
      </c>
    </row>
    <row r="119">
      <c r="A119" s="9" t="inlineStr">
        <is>
          <t>ROI ESTIMATE</t>
        </is>
      </c>
    </row>
    <row r="120">
      <c r="A120" s="12" t="n"/>
      <c r="B120" s="14" t="inlineStr">
        <is>
          <t>Developer time searching for information (McKinsey)</t>
        </is>
      </c>
      <c r="C120" s="12" t="n"/>
      <c r="D120" s="12" t="n"/>
      <c r="E120" s="12" t="n"/>
      <c r="F120" s="12" t="n"/>
      <c r="G120" s="12" t="n"/>
      <c r="H120" s="29" t="inlineStr">
        <is>
          <t>1.8 hours/day</t>
        </is>
      </c>
    </row>
    <row r="121">
      <c r="A121" s="12" t="n"/>
      <c r="B121" s="14" t="inlineStr">
        <is>
          <t>Context switching cost per developer/year</t>
        </is>
      </c>
      <c r="C121" s="12" t="n"/>
      <c r="D121" s="12" t="n"/>
      <c r="E121" s="12" t="n"/>
      <c r="F121" s="12" t="n"/>
      <c r="G121" s="12" t="n"/>
      <c r="H121" s="29" t="inlineStr">
        <is>
          <t>~€50,000</t>
        </is>
      </c>
    </row>
    <row r="123">
      <c r="A123" s="12" t="n"/>
      <c r="B123" s="13" t="inlineStr">
        <is>
          <t>Conservative: saving 15 min/day per developer</t>
        </is>
      </c>
      <c r="C123" s="12" t="n"/>
      <c r="D123" s="12" t="n"/>
      <c r="E123" s="12" t="n"/>
      <c r="F123" s="12" t="n"/>
      <c r="G123" s="12" t="n"/>
      <c r="H123" s="12" t="n"/>
    </row>
    <row r="124">
      <c r="A124" s="12" t="n"/>
      <c r="B124" s="13" t="inlineStr">
        <is>
          <t>Annual recovered value</t>
        </is>
      </c>
      <c r="C124" s="12" t="n"/>
      <c r="D124" s="12" t="n"/>
      <c r="E124" s="12" t="n"/>
      <c r="F124" s="12" t="n"/>
      <c r="G124" s="12" t="n"/>
      <c r="H124" s="62">
        <f>$C$4*0.25*220*$C$7</f>
        <v/>
      </c>
    </row>
    <row r="125">
      <c r="A125" s="56" t="n"/>
      <c r="B125" s="57" t="inlineStr">
        <is>
          <t>ROI (recovered value / investment)</t>
        </is>
      </c>
      <c r="C125" s="56" t="n"/>
      <c r="D125" s="56" t="n"/>
      <c r="E125" s="56" t="n"/>
      <c r="F125" s="56" t="n"/>
      <c r="G125" s="56" t="n"/>
      <c r="H125" s="63">
        <f>H124/H113</f>
        <v/>
      </c>
    </row>
    <row r="126">
      <c r="B126" s="18" t="inlineStr">
        <is>
          <t>Break-even (months)</t>
        </is>
      </c>
      <c r="H126" s="64">
        <f>H113/(H124/12)</f>
        <v/>
      </c>
    </row>
    <row r="129">
      <c r="A129" s="7" t="inlineStr">
        <is>
          <t>Design Partner Benefits</t>
        </is>
      </c>
    </row>
    <row r="130">
      <c r="B130" s="8" t="inlineStr">
        <is>
          <t xml:space="preserve">  30% Founding Partner discount on PLUR Enterprise subscription</t>
        </is>
      </c>
    </row>
    <row r="131">
      <c r="B131" s="8" t="inlineStr">
        <is>
          <t xml:space="preserve">  Guaranteed best rate — you will never pay more than any future customer</t>
        </is>
      </c>
    </row>
    <row r="132">
      <c r="B132" s="8" t="inlineStr">
        <is>
          <t xml:space="preserve">  Influence on product roadmap — your requirements built first</t>
        </is>
      </c>
    </row>
    <row r="133">
      <c r="B133" s="8" t="inlineStr">
        <is>
          <t xml:space="preserve">  White-label &amp; reseller rights (pre-negotiated for future)</t>
        </is>
      </c>
    </row>
    <row r="134">
      <c r="B134" s="8" t="inlineStr">
        <is>
          <t xml:space="preserve">  Partnership continues with Datacore Enterprise on same terms</t>
        </is>
      </c>
    </row>
    <row r="135">
      <c r="B135" s="8" t="inlineStr">
        <is>
          <t xml:space="preserve">  Case study &amp; reference customer agreement</t>
        </is>
      </c>
    </row>
    <row r="136">
      <c r="B136" s="8" t="inlineStr">
        <is>
          <t xml:space="preserve">  Integration phase included — no charges before go-live</t>
        </is>
      </c>
    </row>
    <row r="137">
      <c r="B137" s="8" t="inlineStr">
        <is>
          <t xml:space="preserve">  Weekly check-ins + quarterly strategic reviews</t>
        </is>
      </c>
    </row>
    <row r="140">
      <c r="A140" s="7" t="inlineStr">
        <is>
          <t>Notes</t>
        </is>
      </c>
    </row>
    <row r="141">
      <c r="B141" s="55" t="inlineStr">
        <is>
          <t xml:space="preserve">  All prices exclude VAT.</t>
        </is>
      </c>
    </row>
    <row r="142">
      <c r="B142" s="55" t="inlineStr">
        <is>
          <t xml:space="preserve">  Subscription: 12-month commitment starting at go-live (June 2026). No charges during integration.</t>
        </is>
      </c>
    </row>
    <row r="143">
      <c r="B143" s="55" t="inlineStr">
        <is>
          <t xml:space="preserve">  Founding Partner rate: guaranteed best rate — you will never pay more than any future customer.</t>
        </is>
      </c>
    </row>
    <row r="144">
      <c r="B144" s="55" t="inlineStr">
        <is>
          <t xml:space="preserve">  Knowledge Engineering: invoiced on actuals at standard consulting rate, with weekly reporting.</t>
        </is>
      </c>
    </row>
    <row r="145">
      <c r="B145" s="55" t="inlineStr">
        <is>
          <t xml:space="preserve">  Datacore Enterprise (AI Development Team): scoped and priced as monthly AI roles after PLUR is in place.</t>
        </is>
      </c>
    </row>
    <row r="146">
      <c r="B146" s="55" t="inlineStr">
        <is>
          <t xml:space="preserve">  GitHub provider available as future add-on when needed.</t>
        </is>
      </c>
    </row>
    <row r="147">
      <c r="B147" s="55" t="inlineStr">
        <is>
          <t xml:space="preserve">  We use Claude Code and AI-assisted development — this is how we deliver fast.</t>
        </is>
      </c>
    </row>
    <row r="148">
      <c r="B148" s="55" t="inlineStr">
        <is>
          <t xml:space="preserve">  Yellow cells are adjustable — all totals recalculate automatically.</t>
        </is>
      </c>
    </row>
    <row r="149">
      <c r="B149" s="55" t="inlineStr">
        <is>
          <t xml:space="preserve">  ROI based on McKinsey research (1.8h/day searching) and GitHub/Accenture productivity studies (25-55% gain).</t>
        </is>
      </c>
    </row>
  </sheetData>
  <mergeCells count="69">
    <mergeCell ref="F20:H20"/>
    <mergeCell ref="D20:E20"/>
    <mergeCell ref="A30:H30"/>
    <mergeCell ref="B143:H143"/>
    <mergeCell ref="F18:H18"/>
    <mergeCell ref="B25:C25"/>
    <mergeCell ref="D19:E19"/>
    <mergeCell ref="A59:H59"/>
    <mergeCell ref="F103:G103"/>
    <mergeCell ref="A60:H60"/>
    <mergeCell ref="B22:C22"/>
    <mergeCell ref="A98:H98"/>
    <mergeCell ref="D22:E22"/>
    <mergeCell ref="A1:H1"/>
    <mergeCell ref="C12:H12"/>
    <mergeCell ref="B18:C18"/>
    <mergeCell ref="A110:H110"/>
    <mergeCell ref="B142:H142"/>
    <mergeCell ref="A119:H119"/>
    <mergeCell ref="D21:E21"/>
    <mergeCell ref="F23:H23"/>
    <mergeCell ref="C11:H11"/>
    <mergeCell ref="B21:C21"/>
    <mergeCell ref="F22:H22"/>
    <mergeCell ref="B145:H145"/>
    <mergeCell ref="F104:G104"/>
    <mergeCell ref="A16:H16"/>
    <mergeCell ref="B106:H106"/>
    <mergeCell ref="B144:H144"/>
    <mergeCell ref="A99:H99"/>
    <mergeCell ref="B23:C23"/>
    <mergeCell ref="F56:H56"/>
    <mergeCell ref="F52:H52"/>
    <mergeCell ref="A37:H37"/>
    <mergeCell ref="B141:H141"/>
    <mergeCell ref="A50:H50"/>
    <mergeCell ref="A3:H3"/>
    <mergeCell ref="B149:H149"/>
    <mergeCell ref="B27:H27"/>
    <mergeCell ref="C13:H13"/>
    <mergeCell ref="B19:C19"/>
    <mergeCell ref="A71:H71"/>
    <mergeCell ref="A129:H129"/>
    <mergeCell ref="D18:E18"/>
    <mergeCell ref="F53:H53"/>
    <mergeCell ref="F102:G102"/>
    <mergeCell ref="F25:H25"/>
    <mergeCell ref="D25:E25"/>
    <mergeCell ref="B107:H107"/>
    <mergeCell ref="F54:H54"/>
    <mergeCell ref="B24:C24"/>
    <mergeCell ref="B28:H28"/>
    <mergeCell ref="A62:H62"/>
    <mergeCell ref="F19:H19"/>
    <mergeCell ref="D24:E24"/>
    <mergeCell ref="C14:H14"/>
    <mergeCell ref="A91:H91"/>
    <mergeCell ref="A81:H81"/>
    <mergeCell ref="A140:H140"/>
    <mergeCell ref="B20:C20"/>
    <mergeCell ref="B148:H148"/>
    <mergeCell ref="A10:H10"/>
    <mergeCell ref="D23:E23"/>
    <mergeCell ref="B147:H147"/>
    <mergeCell ref="F21:H21"/>
    <mergeCell ref="F55:H55"/>
    <mergeCell ref="B146:H146"/>
    <mergeCell ref="F24:H24"/>
    <mergeCell ref="F51:H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</cols>
  <sheetData>
    <row r="1">
      <c r="A1" s="1" t="inlineStr">
        <is>
          <t>PLUR Enterprise — Offer (INTERNAL)</t>
        </is>
      </c>
    </row>
    <row r="3">
      <c r="A3" s="2" t="inlineStr">
        <is>
          <t>Parameters (adjust yellow cells)</t>
        </is>
      </c>
    </row>
    <row r="4">
      <c r="B4" s="3" t="inlineStr">
        <is>
          <t>Number of seats</t>
        </is>
      </c>
      <c r="C4" s="4" t="n">
        <v>50</v>
      </c>
    </row>
    <row r="5">
      <c r="B5" s="3" t="inlineStr">
        <is>
          <t>List price per seat (EUR/month)</t>
        </is>
      </c>
      <c r="C5" s="5" t="n">
        <v>70</v>
      </c>
    </row>
    <row r="6">
      <c r="B6" s="3" t="inlineStr">
        <is>
          <t>Founding Partner discount</t>
        </is>
      </c>
      <c r="C6" s="6" t="n">
        <v>0.3</v>
      </c>
    </row>
    <row r="7">
      <c r="B7" s="3" t="inlineStr">
        <is>
          <t>Consulting rate (EUR/hour)</t>
        </is>
      </c>
      <c r="C7" s="5" t="n">
        <v>85</v>
      </c>
    </row>
    <row r="8">
      <c r="B8" s="3" t="inlineStr">
        <is>
          <t>Subscription commitment (months)</t>
        </is>
      </c>
      <c r="C8" s="4" t="n">
        <v>12</v>
      </c>
    </row>
    <row r="9">
      <c r="B9" s="3" t="inlineStr">
        <is>
          <t>Internal team rate (EUR)</t>
        </is>
      </c>
      <c r="C9" s="5" t="n">
        <v>60</v>
      </c>
    </row>
    <row r="10">
      <c r="B10" s="3" t="inlineStr">
        <is>
          <t>Platform internal cost (mostly built)</t>
        </is>
      </c>
      <c r="C10" s="5" t="n">
        <v>3000</v>
      </c>
    </row>
    <row r="12">
      <c r="A12" s="7" t="inlineStr">
        <is>
          <t>Team</t>
        </is>
      </c>
    </row>
    <row r="13">
      <c r="B13" s="3" t="inlineStr">
        <is>
          <t>Gregor</t>
        </is>
      </c>
      <c r="C13" s="8" t="inlineStr">
        <is>
          <t>Project Director, Lead Dev</t>
        </is>
      </c>
    </row>
    <row r="14">
      <c r="B14" s="3" t="inlineStr">
        <is>
          <t>Tadej</t>
        </is>
      </c>
      <c r="C14" s="8" t="inlineStr">
        <is>
          <t>CTO, Tech Lead</t>
        </is>
      </c>
    </row>
    <row r="15">
      <c r="B15" s="3" t="inlineStr">
        <is>
          <t>Marko</t>
        </is>
      </c>
      <c r="C15" s="8" t="inlineStr">
        <is>
          <t>DevOps</t>
        </is>
      </c>
    </row>
    <row r="16">
      <c r="B16" s="3" t="inlineStr">
        <is>
          <t>Crt</t>
        </is>
      </c>
      <c r="C16" s="8" t="inlineStr">
        <is>
          <t>PM, Data Scientist</t>
        </is>
      </c>
    </row>
    <row r="18">
      <c r="A18" s="9" t="inlineStr">
        <is>
          <t>Timeline</t>
        </is>
      </c>
    </row>
    <row r="19">
      <c r="A19" s="10" t="n"/>
      <c r="B19" s="11" t="inlineStr">
        <is>
          <t>When</t>
        </is>
      </c>
      <c r="C19" s="10" t="n"/>
      <c r="D19" s="11" t="inlineStr">
        <is>
          <t>Milestone</t>
        </is>
      </c>
      <c r="E19" s="10" t="n"/>
      <c r="F19" s="11" t="inlineStr">
        <is>
          <t>Details</t>
        </is>
      </c>
      <c r="G19" s="10" t="n"/>
      <c r="H19" s="10" t="n"/>
    </row>
    <row r="20">
      <c r="A20" s="12" t="n"/>
      <c r="B20" s="13" t="inlineStr">
        <is>
          <t>Early May</t>
        </is>
      </c>
      <c r="C20" s="12" t="n"/>
      <c r="D20" s="14" t="inlineStr">
        <is>
          <t>Contract signed</t>
        </is>
      </c>
      <c r="E20" s="12" t="n"/>
      <c r="F20" s="15" t="inlineStr"/>
      <c r="G20" s="12" t="n"/>
      <c r="H20" s="12" t="n"/>
    </row>
    <row r="21">
      <c r="A21" s="12" t="n"/>
      <c r="B21" s="13" t="inlineStr">
        <is>
          <t>May W1–2</t>
        </is>
      </c>
      <c r="C21" s="12" t="n"/>
      <c r="D21" s="14" t="inlineStr">
        <is>
          <t>Integration + first 5 repos</t>
        </is>
      </c>
      <c r="E21" s="12" t="n"/>
      <c r="F21" s="15" t="inlineStr">
        <is>
          <t>GitLab SSO, deployment in parallel with scanning first 5 repos</t>
        </is>
      </c>
      <c r="G21" s="12" t="n"/>
      <c r="H21" s="12" t="n"/>
    </row>
    <row r="22">
      <c r="A22" s="12" t="n"/>
      <c r="B22" s="13" t="inlineStr">
        <is>
          <t>May W2–3</t>
        </is>
      </c>
      <c r="C22" s="12" t="n"/>
      <c r="D22" s="14" t="inlineStr">
        <is>
          <t>Feedback loop</t>
        </is>
      </c>
      <c r="E22" s="12" t="n"/>
      <c r="F22" s="15" t="inlineStr">
        <is>
          <t>Present results to tech leads, tune extraction pipeline</t>
        </is>
      </c>
      <c r="G22" s="12" t="n"/>
      <c r="H22" s="12" t="n"/>
    </row>
    <row r="23">
      <c r="A23" s="12" t="n"/>
      <c r="B23" s="13" t="inlineStr">
        <is>
          <t>May W3–4</t>
        </is>
      </c>
      <c r="C23" s="12" t="n"/>
      <c r="D23" s="14" t="inlineStr">
        <is>
          <t>Test run + next batch</t>
        </is>
      </c>
      <c r="E23" s="12" t="n"/>
      <c r="F23" s="15" t="inlineStr">
        <is>
          <t>Infra live, 10-15 users collecting memories. Scan next 10-15 repos with tuned pipeline.</t>
        </is>
      </c>
      <c r="G23" s="12" t="n"/>
      <c r="H23" s="12" t="n"/>
    </row>
    <row r="24">
      <c r="A24" s="12" t="n"/>
      <c r="B24" s="13" t="inlineStr">
        <is>
          <t>June</t>
        </is>
      </c>
      <c r="C24" s="12" t="n"/>
      <c r="D24" s="14" t="inlineStr">
        <is>
          <t>Onboarding month — subscription starts</t>
        </is>
      </c>
      <c r="E24" s="12" t="n"/>
      <c r="F24" s="15" t="inlineStr">
        <is>
          <t>50 users, setup workshop. 20-30 repos curated, packs deployed.</t>
        </is>
      </c>
      <c r="G24" s="12" t="n"/>
      <c r="H24" s="12" t="n"/>
    </row>
    <row r="25">
      <c r="A25" s="12" t="n"/>
      <c r="B25" s="13" t="inlineStr">
        <is>
          <t>June–July</t>
        </is>
      </c>
      <c r="C25" s="12" t="n"/>
      <c r="D25" s="14" t="inlineStr">
        <is>
          <t>Knowledge Engineering Phase A completes</t>
        </is>
      </c>
      <c r="E25" s="12" t="n"/>
      <c r="F25" s="15" t="inlineStr">
        <is>
          <t>Remaining active repos, pipeline refinement</t>
        </is>
      </c>
      <c r="G25" s="12" t="n"/>
      <c r="H25" s="12" t="n"/>
    </row>
    <row r="26">
      <c r="A26" s="12" t="n"/>
      <c r="B26" s="13" t="inlineStr">
        <is>
          <t>July–Aug</t>
        </is>
      </c>
      <c r="C26" s="12" t="n"/>
      <c r="D26" s="14" t="inlineStr">
        <is>
          <t>Knowledge Engineering Phase B</t>
        </is>
      </c>
      <c r="E26" s="12" t="n"/>
      <c r="F26" s="15" t="inlineStr">
        <is>
          <t>1,370 repos automated, new project hook, coverage report, handover</t>
        </is>
      </c>
      <c r="G26" s="12" t="n"/>
      <c r="H26" s="12" t="n"/>
    </row>
    <row r="27">
      <c r="A27" s="12" t="n"/>
      <c r="B27" s="13" t="inlineStr">
        <is>
          <t>Q3/Q4 2026</t>
        </is>
      </c>
      <c r="C27" s="12" t="n"/>
      <c r="D27" s="14" t="inlineStr">
        <is>
          <t>Datacore Enterprise (scoped together)</t>
        </is>
      </c>
      <c r="E27" s="12" t="n"/>
      <c r="F27" s="15" t="inlineStr">
        <is>
          <t>AI Development Team — Chief of Staff, Insight Agent, Onboarding Companion</t>
        </is>
      </c>
      <c r="G27" s="12" t="n"/>
      <c r="H27" s="12" t="n"/>
    </row>
    <row r="29">
      <c r="B29" s="16" t="inlineStr">
        <is>
          <t>Subscription starts at go-live (June 2026), not at contract signing.</t>
        </is>
      </c>
    </row>
    <row r="30">
      <c r="B30" s="17" t="inlineStr">
        <is>
          <t>Integration + test run (May) included — no subscription charges before go-live.</t>
        </is>
      </c>
    </row>
    <row r="32">
      <c r="A32" s="9" t="inlineStr">
        <is>
          <t>1. PLUR ENTERPRISE — Organizational Learning (subscription)</t>
        </is>
      </c>
    </row>
    <row r="33">
      <c r="B33" s="18" t="inlineStr">
        <is>
          <t>List price per seat</t>
        </is>
      </c>
      <c r="H33" s="19">
        <f>$C$5</f>
        <v/>
      </c>
    </row>
    <row r="34">
      <c r="B34" s="20" t="inlineStr">
        <is>
          <t>Founding Partner price per seat</t>
        </is>
      </c>
      <c r="H34" s="21">
        <f>$C$5*(1-$C$6)</f>
        <v/>
      </c>
    </row>
    <row r="35">
      <c r="A35" s="22" t="n"/>
      <c r="B35" s="23" t="inlineStr">
        <is>
          <t>Monthly subscription</t>
        </is>
      </c>
      <c r="C35" s="22" t="n"/>
      <c r="D35" s="22" t="n"/>
      <c r="E35" s="22" t="n"/>
      <c r="F35" s="24" t="inlineStr">
        <is>
          <t>seats × price =</t>
        </is>
      </c>
      <c r="G35" s="22" t="n"/>
      <c r="H35" s="25">
        <f>$C$4*H34</f>
        <v/>
      </c>
    </row>
    <row r="36">
      <c r="B36" s="3" t="inlineStr">
        <is>
          <t>Annual commitment</t>
        </is>
      </c>
      <c r="H36" s="26">
        <f>H35*$C$8</f>
        <v/>
      </c>
    </row>
    <row r="37">
      <c r="B37" s="17" t="inlineStr">
        <is>
          <t>Annual savings vs list price</t>
        </is>
      </c>
      <c r="H37" s="27">
        <f>$C$4*$C$5*$C$6*$C$8</f>
        <v/>
      </c>
    </row>
    <row r="39">
      <c r="A39" s="3" t="inlineStr">
        <is>
          <t>What’s included:</t>
        </is>
      </c>
    </row>
    <row r="40">
      <c r="A40" s="28" t="n">
        <v>1</v>
      </c>
      <c r="B40" s="14" t="inlineStr">
        <is>
          <t>PLUR Enterprise server (HTTP/SSE MCP, multi-user)</t>
        </is>
      </c>
      <c r="C40" s="12" t="n"/>
      <c r="D40" s="12" t="n"/>
      <c r="E40" s="12" t="n"/>
      <c r="F40" s="12" t="n"/>
      <c r="G40" s="12" t="n"/>
      <c r="H40" s="12" t="n"/>
    </row>
    <row r="41">
      <c r="A41" s="28" t="n">
        <v>2</v>
      </c>
      <c r="B41" s="14" t="inlineStr">
        <is>
          <t>PostgreSQL + AGE (knowledge graph) + pgvector (semantic search)</t>
        </is>
      </c>
      <c r="C41" s="12" t="n"/>
      <c r="D41" s="12" t="n"/>
      <c r="E41" s="12" t="n"/>
      <c r="F41" s="12" t="n"/>
      <c r="G41" s="12" t="n"/>
      <c r="H41" s="12" t="n"/>
    </row>
    <row r="42">
      <c r="A42" s="28" t="n">
        <v>3</v>
      </c>
      <c r="B42" s="14" t="inlineStr">
        <is>
          <t>SSO integration (configured for your identity provider)</t>
        </is>
      </c>
      <c r="C42" s="12" t="n"/>
      <c r="D42" s="12" t="n"/>
      <c r="E42" s="12" t="n"/>
      <c r="F42" s="12" t="n"/>
      <c r="G42" s="12" t="n"/>
      <c r="H42" s="12" t="n"/>
    </row>
    <row r="43">
      <c r="A43" s="28" t="n">
        <v>4</v>
      </c>
      <c r="B43" s="14" t="inlineStr">
        <is>
          <t>Scope-based access control + role-level permissions</t>
        </is>
      </c>
      <c r="C43" s="12" t="n"/>
      <c r="D43" s="12" t="n"/>
      <c r="E43" s="12" t="n"/>
      <c r="F43" s="12" t="n"/>
      <c r="G43" s="12" t="n"/>
      <c r="H43" s="12" t="n"/>
    </row>
    <row r="44">
      <c r="A44" s="28" t="n">
        <v>5</v>
      </c>
      <c r="B44" s="14" t="inlineStr">
        <is>
          <t>MCP tool security (allowlist, write enforcement, audit)</t>
        </is>
      </c>
      <c r="C44" s="12" t="n"/>
      <c r="D44" s="12" t="n"/>
      <c r="E44" s="12" t="n"/>
      <c r="F44" s="12" t="n"/>
      <c r="G44" s="12" t="n"/>
      <c r="H44" s="12" t="n"/>
    </row>
    <row r="45">
      <c r="A45" s="28" t="n">
        <v>6</v>
      </c>
      <c r="B45" s="14" t="inlineStr">
        <is>
          <t>Admin dashboard (usage, health, audit log)</t>
        </is>
      </c>
      <c r="C45" s="12" t="n"/>
      <c r="D45" s="12" t="n"/>
      <c r="E45" s="12" t="n"/>
      <c r="F45" s="12" t="n"/>
      <c r="G45" s="12" t="n"/>
      <c r="H45" s="12" t="n"/>
    </row>
    <row r="46">
      <c r="A46" s="28" t="n">
        <v>7</v>
      </c>
      <c r="B46" s="14" t="inlineStr">
        <is>
          <t>Deployment, TLS, CI/CD, monitoring &amp; alerting</t>
        </is>
      </c>
      <c r="C46" s="12" t="n"/>
      <c r="D46" s="12" t="n"/>
      <c r="E46" s="12" t="n"/>
      <c r="F46" s="12" t="n"/>
      <c r="G46" s="12" t="n"/>
      <c r="H46" s="12" t="n"/>
    </row>
    <row r="47">
      <c r="A47" s="28" t="n">
        <v>8</v>
      </c>
      <c r="B47" s="14" t="inlineStr">
        <is>
          <t>Security patches, dependency updates, platform upgrades</t>
        </is>
      </c>
      <c r="C47" s="12" t="n"/>
      <c r="D47" s="12" t="n"/>
      <c r="E47" s="12" t="n"/>
      <c r="F47" s="12" t="n"/>
      <c r="G47" s="12" t="n"/>
      <c r="H47" s="12" t="n"/>
    </row>
    <row r="48">
      <c r="A48" s="28" t="n">
        <v>9</v>
      </c>
      <c r="B48" s="14" t="inlineStr">
        <is>
          <t>Infrastructure hosting &amp; AI compute (included)</t>
        </is>
      </c>
      <c r="C48" s="12" t="n"/>
      <c r="D48" s="12" t="n"/>
      <c r="E48" s="12" t="n"/>
      <c r="F48" s="12" t="n"/>
      <c r="G48" s="12" t="n"/>
      <c r="H48" s="12" t="n"/>
    </row>
    <row r="49">
      <c r="A49" s="28" t="n">
        <v>10</v>
      </c>
      <c r="B49" s="14" t="inlineStr">
        <is>
          <t>Priority bug fixes (&lt; 24h response, &lt; 72h resolution)</t>
        </is>
      </c>
      <c r="C49" s="12" t="n"/>
      <c r="D49" s="12" t="n"/>
      <c r="E49" s="12" t="n"/>
      <c r="F49" s="12" t="n"/>
      <c r="G49" s="12" t="n"/>
      <c r="H49" s="12" t="n"/>
    </row>
    <row r="50">
      <c r="A50" s="28" t="n">
        <v>11</v>
      </c>
      <c r="B50" s="14" t="inlineStr">
        <is>
          <t>Weekly check-in + quarterly strategic review</t>
        </is>
      </c>
      <c r="C50" s="12" t="n"/>
      <c r="D50" s="12" t="n"/>
      <c r="E50" s="12" t="n"/>
      <c r="F50" s="12" t="n"/>
      <c r="G50" s="12" t="n"/>
      <c r="H50" s="12" t="n"/>
    </row>
    <row r="52">
      <c r="A52" s="3" t="inlineStr">
        <is>
          <t>Market context:</t>
        </is>
      </c>
    </row>
    <row r="53">
      <c r="A53" s="12" t="n"/>
      <c r="B53" s="14" t="inlineStr">
        <is>
          <t>GitHub Copilot Enterprise</t>
        </is>
      </c>
      <c r="C53" s="12" t="n"/>
      <c r="D53" s="12" t="n"/>
      <c r="E53" s="29" t="inlineStr">
        <is>
          <t>$39-60/seat/mo</t>
        </is>
      </c>
      <c r="F53" s="15" t="inlineStr">
        <is>
          <t>Code completion, 28-day memory, no learning</t>
        </is>
      </c>
      <c r="G53" s="12" t="n"/>
      <c r="H53" s="12" t="n"/>
    </row>
    <row r="54">
      <c r="A54" s="12" t="n"/>
      <c r="B54" s="14" t="inlineStr">
        <is>
          <t>Augment Code Standard</t>
        </is>
      </c>
      <c r="C54" s="12" t="n"/>
      <c r="D54" s="12" t="n"/>
      <c r="E54" s="29" t="inlineStr">
        <is>
          <t>$60/seat/mo</t>
        </is>
      </c>
      <c r="F54" s="15" t="inlineStr">
        <is>
          <t>Project memory, no correction-based learning</t>
        </is>
      </c>
      <c r="G54" s="12" t="n"/>
      <c r="H54" s="12" t="n"/>
    </row>
    <row r="55">
      <c r="A55" s="12" t="n"/>
      <c r="B55" s="14" t="inlineStr">
        <is>
          <t>Sourcegraph Cody Enterprise</t>
        </is>
      </c>
      <c r="C55" s="12" t="n"/>
      <c r="D55" s="12" t="n"/>
      <c r="E55" s="29" t="inlineStr">
        <is>
          <t>$59/seat/mo</t>
        </is>
      </c>
      <c r="F55" s="15" t="inlineStr">
        <is>
          <t>Code search, no persistent memory</t>
        </is>
      </c>
      <c r="G55" s="12" t="n"/>
      <c r="H55" s="12" t="n"/>
    </row>
    <row r="56">
      <c r="A56" s="12" t="n"/>
      <c r="B56" s="14" t="inlineStr">
        <is>
          <t>JetBrains AI Enterprise</t>
        </is>
      </c>
      <c r="C56" s="12" t="n"/>
      <c r="D56" s="12" t="n"/>
      <c r="E56" s="29" t="inlineStr">
        <is>
          <t>$60+/seat/mo</t>
        </is>
      </c>
      <c r="F56" s="15" t="inlineStr">
        <is>
          <t>IDE AI features, no org memory</t>
        </is>
      </c>
      <c r="G56" s="12" t="n"/>
      <c r="H56" s="12" t="n"/>
    </row>
    <row r="57">
      <c r="A57" s="12" t="n"/>
      <c r="B57" s="14" t="inlineStr">
        <is>
          <t>PLUR Enterprise (list)</t>
        </is>
      </c>
      <c r="C57" s="12" t="n"/>
      <c r="D57" s="12" t="n"/>
      <c r="E57" s="29" t="inlineStr">
        <is>
          <t>€70/seat/mo</t>
        </is>
      </c>
      <c r="F57" s="15" t="inlineStr">
        <is>
          <t>Persistent org learning, correction-based, knowledge graph</t>
        </is>
      </c>
      <c r="G57" s="12" t="n"/>
      <c r="H57" s="12" t="n"/>
    </row>
    <row r="58">
      <c r="A58" s="12" t="n"/>
      <c r="B58" s="14" t="inlineStr">
        <is>
          <t>PLUR Enterprise (Founding Partner)</t>
        </is>
      </c>
      <c r="C58" s="12" t="n"/>
      <c r="D58" s="12" t="n"/>
      <c r="E58" s="29" t="inlineStr">
        <is>
          <t>€49/seat/mo</t>
        </is>
      </c>
      <c r="F58" s="15" t="inlineStr">
        <is>
          <t>Same — 30% Founding Partner discount</t>
        </is>
      </c>
      <c r="G58" s="12" t="n"/>
      <c r="H58" s="12" t="n"/>
    </row>
    <row r="61">
      <c r="A61" s="9" t="inlineStr">
        <is>
          <t>2. KNOWLEDGE ENGINEERING (one-time project)</t>
        </is>
      </c>
    </row>
    <row r="62">
      <c r="A62" s="30" t="inlineStr">
        <is>
          <t>Scan your codebase, extract conventions, build your custom ingest pipeline</t>
        </is>
      </c>
    </row>
    <row r="63">
      <c r="A63" s="31" t="inlineStr">
        <is>
          <t>#</t>
        </is>
      </c>
      <c r="B63" s="31" t="inlineStr">
        <is>
          <t>Deliverable</t>
        </is>
      </c>
      <c r="C63" s="32" t="inlineStr">
        <is>
          <t>Gregor</t>
        </is>
      </c>
      <c r="D63" s="32" t="inlineStr">
        <is>
          <t>Tadej</t>
        </is>
      </c>
      <c r="E63" s="32" t="inlineStr">
        <is>
          <t>Marko</t>
        </is>
      </c>
      <c r="F63" s="32" t="inlineStr">
        <is>
          <t>Crt</t>
        </is>
      </c>
      <c r="G63" s="32" t="inlineStr">
        <is>
          <t>Total h</t>
        </is>
      </c>
      <c r="H63" s="32" t="inlineStr">
        <is>
          <t>Cost (EUR)</t>
        </is>
      </c>
    </row>
    <row r="64">
      <c r="A64" s="33" t="inlineStr">
        <is>
          <t>Integration — GitLab &amp; Deployment</t>
        </is>
      </c>
    </row>
    <row r="65">
      <c r="A65" s="28" t="n">
        <v>1</v>
      </c>
      <c r="B65" s="14" t="inlineStr">
        <is>
          <t>GitLab OAuth2/OIDC + PKCE integration</t>
        </is>
      </c>
      <c r="C65" s="34" t="n"/>
      <c r="D65" s="35" t="n">
        <v>16</v>
      </c>
      <c r="E65" s="34" t="n"/>
      <c r="F65" s="34" t="n"/>
      <c r="G65" s="36">
        <f>SUM(C65:F65)</f>
        <v/>
      </c>
      <c r="H65" s="37">
        <f>G65*$C$7</f>
        <v/>
      </c>
    </row>
    <row r="66">
      <c r="A66" s="28" t="n">
        <v>2</v>
      </c>
      <c r="B66" s="14" t="inlineStr">
        <is>
          <t>GitLab group/project membership sync &amp; webhooks</t>
        </is>
      </c>
      <c r="C66" s="34" t="n"/>
      <c r="D66" s="35" t="n">
        <v>12</v>
      </c>
      <c r="E66" s="34" t="n"/>
      <c r="F66" s="34" t="n"/>
      <c r="G66" s="36">
        <f>SUM(C66:F66)</f>
        <v/>
      </c>
      <c r="H66" s="37">
        <f>G66*$C$7</f>
        <v/>
      </c>
    </row>
    <row r="67">
      <c r="A67" s="28" t="n">
        <v>3</v>
      </c>
      <c r="B67" s="14" t="inlineStr">
        <is>
          <t>Deployment &amp; configuration for your GitLab instance</t>
        </is>
      </c>
      <c r="C67" s="34" t="n"/>
      <c r="D67" s="35" t="n">
        <v>4</v>
      </c>
      <c r="E67" s="35" t="n">
        <v>8</v>
      </c>
      <c r="F67" s="34" t="n"/>
      <c r="G67" s="36">
        <f>SUM(C67:F67)</f>
        <v/>
      </c>
      <c r="H67" s="37">
        <f>G67*$C$7</f>
        <v/>
      </c>
    </row>
    <row r="68">
      <c r="A68" s="28" t="n">
        <v>4</v>
      </c>
      <c r="B68" s="14" t="inlineStr">
        <is>
          <t>Setup workshop (all hands, 2-3h)</t>
        </is>
      </c>
      <c r="C68" s="35" t="n">
        <v>4</v>
      </c>
      <c r="D68" s="34" t="n"/>
      <c r="E68" s="34" t="n"/>
      <c r="F68" s="35" t="n">
        <v>4</v>
      </c>
      <c r="G68" s="36">
        <f>SUM(C68:F68)</f>
        <v/>
      </c>
      <c r="H68" s="37">
        <f>G68*$C$7</f>
        <v/>
      </c>
    </row>
    <row r="69">
      <c r="A69" s="28" t="n">
        <v>5</v>
      </c>
      <c r="B69" s="14" t="inlineStr">
        <is>
          <t>Project management &amp; weekly check-ins (across all phases)</t>
        </is>
      </c>
      <c r="C69" s="34" t="n"/>
      <c r="D69" s="34" t="n"/>
      <c r="E69" s="34" t="n"/>
      <c r="F69" s="35" t="n">
        <v>16</v>
      </c>
      <c r="G69" s="36">
        <f>SUM(C69:F69)</f>
        <v/>
      </c>
      <c r="H69" s="37">
        <f>G69*$C$7</f>
        <v/>
      </c>
    </row>
    <row r="70">
      <c r="A70" s="38" t="n"/>
      <c r="B70" s="39" t="inlineStr">
        <is>
          <t>Subtotal — Integration</t>
        </is>
      </c>
      <c r="C70" s="40">
        <f>SUM(C65:C69)</f>
        <v/>
      </c>
      <c r="D70" s="40">
        <f>SUM(D65:D69)</f>
        <v/>
      </c>
      <c r="E70" s="40">
        <f>SUM(E65:E69)</f>
        <v/>
      </c>
      <c r="F70" s="40">
        <f>SUM(F65:F69)</f>
        <v/>
      </c>
      <c r="G70" s="40">
        <f>SUM(G65:G69)</f>
        <v/>
      </c>
      <c r="H70" s="41">
        <f>SUM(H65:H69)</f>
        <v/>
      </c>
    </row>
    <row r="71">
      <c r="A71" s="12" t="n"/>
      <c r="B71" s="42" t="inlineStr">
        <is>
          <t>AI compute (tokens)</t>
        </is>
      </c>
      <c r="C71" s="12" t="n"/>
      <c r="D71" s="12" t="n"/>
      <c r="E71" s="12" t="n"/>
      <c r="F71" s="12" t="n"/>
      <c r="G71" s="12" t="n"/>
      <c r="H71" s="43" t="n">
        <v>200</v>
      </c>
    </row>
    <row r="73">
      <c r="A73" s="33" t="inlineStr">
        <is>
          <t>Phase A — 30 Active Repos (high-touch curation)</t>
        </is>
      </c>
    </row>
    <row r="74">
      <c r="A74" s="28" t="n">
        <v>1</v>
      </c>
      <c r="B74" s="14" t="inlineStr">
        <is>
          <t>Extraction strategy &amp; planning with your tech leads</t>
        </is>
      </c>
      <c r="C74" s="34" t="n"/>
      <c r="D74" s="34" t="n"/>
      <c r="E74" s="34" t="n"/>
      <c r="F74" s="35" t="n">
        <v>8</v>
      </c>
      <c r="G74" s="36">
        <f>SUM(C74:F74)</f>
        <v/>
      </c>
      <c r="H74" s="37">
        <f>G74*$C$7</f>
        <v/>
      </c>
    </row>
    <row r="75">
      <c r="A75" s="28" t="n">
        <v>2</v>
      </c>
      <c r="B75" s="14" t="inlineStr">
        <is>
          <t>Convention extraction &amp; analysis (30 repos, multiple passes)</t>
        </is>
      </c>
      <c r="C75" s="35" t="n">
        <v>4</v>
      </c>
      <c r="D75" s="34" t="n"/>
      <c r="E75" s="34" t="n"/>
      <c r="F75" s="35" t="n">
        <v>24</v>
      </c>
      <c r="G75" s="36">
        <f>SUM(C75:F75)</f>
        <v/>
      </c>
      <c r="H75" s="37">
        <f>G75*$C$7</f>
        <v/>
      </c>
    </row>
    <row r="76">
      <c r="A76" s="28" t="n">
        <v>3</v>
      </c>
      <c r="B76" s="14" t="inlineStr">
        <is>
          <t>Engram generation + quality tuning with your tech leads</t>
        </is>
      </c>
      <c r="C76" s="35" t="n">
        <v>8</v>
      </c>
      <c r="D76" s="34" t="n"/>
      <c r="E76" s="34" t="n"/>
      <c r="F76" s="35" t="n">
        <v>16</v>
      </c>
      <c r="G76" s="36">
        <f>SUM(C76:F76)</f>
        <v/>
      </c>
      <c r="H76" s="37">
        <f>G76*$C$7</f>
        <v/>
      </c>
    </row>
    <row r="77">
      <c r="A77" s="28" t="n">
        <v>4</v>
      </c>
      <c r="B77" s="14" t="inlineStr">
        <is>
          <t>Knowledge pack curation (per-project + per-group)</t>
        </is>
      </c>
      <c r="C77" s="35" t="n">
        <v>4</v>
      </c>
      <c r="D77" s="34" t="n"/>
      <c r="E77" s="34" t="n"/>
      <c r="F77" s="35" t="n">
        <v>12</v>
      </c>
      <c r="G77" s="36">
        <f>SUM(C77:F77)</f>
        <v/>
      </c>
      <c r="H77" s="37">
        <f>G77*$C$7</f>
        <v/>
      </c>
    </row>
    <row r="78">
      <c r="A78" s="28" t="n">
        <v>5</v>
      </c>
      <c r="B78" s="14" t="inlineStr">
        <is>
          <t>Custom ingest pipeline development (reusable for Phase B)</t>
        </is>
      </c>
      <c r="C78" s="34" t="n"/>
      <c r="D78" s="35" t="n">
        <v>16</v>
      </c>
      <c r="E78" s="34" t="n"/>
      <c r="F78" s="35" t="n">
        <v>4</v>
      </c>
      <c r="G78" s="36">
        <f>SUM(C78:F78)</f>
        <v/>
      </c>
      <c r="H78" s="37">
        <f>G78*$C$7</f>
        <v/>
      </c>
    </row>
    <row r="79">
      <c r="A79" s="28" t="n">
        <v>6</v>
      </c>
      <c r="B79" s="14" t="inlineStr">
        <is>
          <t>Phase report &amp; deliverables review</t>
        </is>
      </c>
      <c r="C79" s="34" t="n"/>
      <c r="D79" s="34" t="n"/>
      <c r="E79" s="34" t="n"/>
      <c r="F79" s="35" t="n">
        <v>6</v>
      </c>
      <c r="G79" s="36">
        <f>SUM(C79:F79)</f>
        <v/>
      </c>
      <c r="H79" s="37">
        <f>G79*$C$7</f>
        <v/>
      </c>
    </row>
    <row r="80">
      <c r="A80" s="38" t="n"/>
      <c r="B80" s="39" t="inlineStr">
        <is>
          <t>Subtotal — Phase A</t>
        </is>
      </c>
      <c r="C80" s="40">
        <f>SUM(C74:C79)</f>
        <v/>
      </c>
      <c r="D80" s="40">
        <f>SUM(D74:D79)</f>
        <v/>
      </c>
      <c r="E80" s="40">
        <f>SUM(E74:E79)</f>
        <v/>
      </c>
      <c r="F80" s="40">
        <f>SUM(F74:F79)</f>
        <v/>
      </c>
      <c r="G80" s="40">
        <f>SUM(G74:G79)</f>
        <v/>
      </c>
      <c r="H80" s="41">
        <f>SUM(H74:H79)</f>
        <v/>
      </c>
    </row>
    <row r="81">
      <c r="A81" s="12" t="n"/>
      <c r="B81" s="42" t="inlineStr">
        <is>
          <t>AI compute (tokens)</t>
        </is>
      </c>
      <c r="C81" s="12" t="n"/>
      <c r="D81" s="12" t="n"/>
      <c r="E81" s="12" t="n"/>
      <c r="F81" s="12" t="n"/>
      <c r="G81" s="12" t="n"/>
      <c r="H81" s="43" t="n">
        <v>600</v>
      </c>
    </row>
    <row r="83">
      <c r="A83" s="33" t="inlineStr">
        <is>
          <t>Phase B — 1,370 Repos (automated processing)</t>
        </is>
      </c>
    </row>
    <row r="84">
      <c r="A84" s="28" t="n">
        <v>1</v>
      </c>
      <c r="B84" s="14" t="inlineStr">
        <is>
          <t>Batch processing — run pipeline on all remaining repos</t>
        </is>
      </c>
      <c r="C84" s="34" t="n"/>
      <c r="D84" s="34" t="n"/>
      <c r="E84" s="34" t="n"/>
      <c r="F84" s="35" t="n">
        <v>12</v>
      </c>
      <c r="G84" s="36">
        <f>SUM(C84:F84)</f>
        <v/>
      </c>
      <c r="H84" s="37">
        <f>G84*$C$7</f>
        <v/>
      </c>
    </row>
    <row r="85">
      <c r="A85" s="28" t="n">
        <v>2</v>
      </c>
      <c r="B85" s="14" t="inlineStr">
        <is>
          <t>Quality review &amp; outlier handling</t>
        </is>
      </c>
      <c r="C85" s="35" t="n">
        <v>4</v>
      </c>
      <c r="D85" s="34" t="n"/>
      <c r="E85" s="34" t="n"/>
      <c r="F85" s="35" t="n">
        <v>8</v>
      </c>
      <c r="G85" s="36">
        <f>SUM(C85:F85)</f>
        <v/>
      </c>
      <c r="H85" s="37">
        <f>G85*$C$7</f>
        <v/>
      </c>
    </row>
    <row r="86">
      <c r="A86" s="28" t="n">
        <v>3</v>
      </c>
      <c r="B86" s="14" t="inlineStr">
        <is>
          <t>New project hook (auto-extraction on repo creation via CI)</t>
        </is>
      </c>
      <c r="C86" s="34" t="n"/>
      <c r="D86" s="35" t="n">
        <v>8</v>
      </c>
      <c r="E86" s="35" t="n">
        <v>8</v>
      </c>
      <c r="F86" s="34" t="n"/>
      <c r="G86" s="36">
        <f>SUM(C86:F86)</f>
        <v/>
      </c>
      <c r="H86" s="37">
        <f>G86*$C$7</f>
        <v/>
      </c>
    </row>
    <row r="87">
      <c r="A87" s="28" t="n">
        <v>4</v>
      </c>
      <c r="B87" s="14" t="inlineStr">
        <is>
          <t>Coverage report &amp; final handover</t>
        </is>
      </c>
      <c r="C87" s="34" t="n"/>
      <c r="D87" s="34" t="n"/>
      <c r="E87" s="34" t="n"/>
      <c r="F87" s="35" t="n">
        <v>6</v>
      </c>
      <c r="G87" s="36">
        <f>SUM(C87:F87)</f>
        <v/>
      </c>
      <c r="H87" s="37">
        <f>G87*$C$7</f>
        <v/>
      </c>
    </row>
    <row r="88">
      <c r="A88" s="38" t="n"/>
      <c r="B88" s="39" t="inlineStr">
        <is>
          <t>Subtotal — Phase B</t>
        </is>
      </c>
      <c r="C88" s="40">
        <f>SUM(C84:C87)</f>
        <v/>
      </c>
      <c r="D88" s="40">
        <f>SUM(D84:D87)</f>
        <v/>
      </c>
      <c r="E88" s="40">
        <f>SUM(E84:E87)</f>
        <v/>
      </c>
      <c r="F88" s="40">
        <f>SUM(F84:F87)</f>
        <v/>
      </c>
      <c r="G88" s="40">
        <f>SUM(G84:G87)</f>
        <v/>
      </c>
      <c r="H88" s="41">
        <f>SUM(H84:H87)</f>
        <v/>
      </c>
    </row>
    <row r="89">
      <c r="A89" s="12" t="n"/>
      <c r="B89" s="42" t="inlineStr">
        <is>
          <t>AI compute (tokens)</t>
        </is>
      </c>
      <c r="C89" s="12" t="n"/>
      <c r="D89" s="12" t="n"/>
      <c r="E89" s="12" t="n"/>
      <c r="F89" s="12" t="n"/>
      <c r="G89" s="12" t="n"/>
      <c r="H89" s="43" t="n">
        <v>400</v>
      </c>
    </row>
    <row r="91">
      <c r="A91" s="44" t="n"/>
      <c r="B91" s="45" t="inlineStr">
        <is>
          <t>KNOWLEDGE ENGINEERING TOTAL</t>
        </is>
      </c>
      <c r="C91" s="44" t="n"/>
      <c r="D91" s="44" t="n"/>
      <c r="E91" s="44" t="n"/>
      <c r="F91" s="44" t="n"/>
      <c r="G91" s="46">
        <f>G70+G80+G88</f>
        <v/>
      </c>
      <c r="H91" s="47">
        <f>H70+H71+H80+H81+H88+H89</f>
        <v/>
      </c>
    </row>
    <row r="93">
      <c r="A93" s="3" t="inlineStr">
        <is>
          <t>Deliverables:</t>
        </is>
      </c>
    </row>
    <row r="94">
      <c r="B94" s="8" t="inlineStr">
        <is>
          <t xml:space="preserve">  Custom ingest pipeline tuned to your codebase (reusable, automated)</t>
        </is>
      </c>
    </row>
    <row r="95">
      <c r="B95" s="8" t="inlineStr">
        <is>
          <t xml:space="preserve">  30 active repos: curated knowledge packs, reviewed with your tech leads</t>
        </is>
      </c>
    </row>
    <row r="96">
      <c r="B96" s="8" t="inlineStr">
        <is>
          <t xml:space="preserve">  1,370 repos: auto-processed, coverage report</t>
        </is>
      </c>
    </row>
    <row r="97">
      <c r="B97" s="8" t="inlineStr">
        <is>
          <t xml:space="preserve">  New project hook: every new repo auto-bootstrapped on creation</t>
        </is>
      </c>
    </row>
    <row r="100">
      <c r="A100" s="9" t="inlineStr">
        <is>
          <t>3. DATACORE ENTERPRISE — AI Development Team (Founding Partnership continues)</t>
        </is>
      </c>
    </row>
    <row r="101">
      <c r="A101" s="30" t="inlineStr">
        <is>
          <t>Autonomous AI agents powered by your organizational learning. Separate product, same partnership. Scoped together after PLUR is in place.</t>
        </is>
      </c>
    </row>
    <row r="103">
      <c r="A103" s="48" t="n"/>
      <c r="B103" s="49" t="inlineStr">
        <is>
          <t>AI Role</t>
        </is>
      </c>
      <c r="C103" s="48" t="n"/>
      <c r="D103" s="48" t="n"/>
      <c r="E103" s="48" t="n"/>
      <c r="F103" s="49" t="inlineStr">
        <is>
          <t>Description</t>
        </is>
      </c>
      <c r="G103" s="48" t="n"/>
      <c r="H103" s="50" t="inlineStr">
        <is>
          <t>Indicative</t>
        </is>
      </c>
    </row>
    <row r="104">
      <c r="A104" s="51" t="n"/>
      <c r="B104" s="52" t="inlineStr">
        <is>
          <t>AI Chief of Staff</t>
        </is>
      </c>
      <c r="C104" s="51" t="n"/>
      <c r="D104" s="51" t="n"/>
      <c r="E104" s="51" t="n"/>
      <c r="F104" s="53" t="inlineStr">
        <is>
          <t>Org-wide operational intelligence — answers any question about your repos, decisions, team activity</t>
        </is>
      </c>
      <c r="G104" s="12" t="n"/>
      <c r="H104" s="54" t="n">
        <v>800</v>
      </c>
    </row>
    <row r="105">
      <c r="A105" s="51" t="n"/>
      <c r="B105" s="52" t="inlineStr">
        <is>
          <t>Insight Agent</t>
        </is>
      </c>
      <c r="C105" s="51" t="n"/>
      <c r="D105" s="51" t="n"/>
      <c r="E105" s="51" t="n"/>
      <c r="F105" s="53" t="inlineStr">
        <is>
          <t>Proactive pattern detection — surfaces what you didn’t know to ask across teams</t>
        </is>
      </c>
      <c r="G105" s="12" t="n"/>
      <c r="H105" s="54" t="n">
        <v>600</v>
      </c>
    </row>
    <row r="106">
      <c r="A106" s="51" t="n"/>
      <c r="B106" s="52" t="inlineStr">
        <is>
          <t>Onboarding Companion</t>
        </is>
      </c>
      <c r="C106" s="51" t="n"/>
      <c r="D106" s="51" t="n"/>
      <c r="E106" s="51" t="n"/>
      <c r="F106" s="53" t="inlineStr">
        <is>
          <t>Interactive guide for new developers — built from your actual conventions</t>
        </is>
      </c>
      <c r="G106" s="12" t="n"/>
      <c r="H106" s="54" t="n">
        <v>400</v>
      </c>
    </row>
    <row r="108">
      <c r="B108" s="55" t="inlineStr">
        <is>
          <t>Pricing model: monthly per AI role. Exact scope determined together after Phase 1+2.</t>
        </is>
      </c>
    </row>
    <row r="109">
      <c r="B109" s="55" t="inlineStr">
        <is>
          <t>Founding Partnership discount applies to Datacore on same terms as PLUR.</t>
        </is>
      </c>
    </row>
    <row r="112">
      <c r="A112" s="9" t="inlineStr">
        <is>
          <t>FIRST-YEAR COMMITMENT</t>
        </is>
      </c>
    </row>
    <row r="113">
      <c r="A113" s="12" t="n"/>
      <c r="B113" s="14" t="inlineStr">
        <is>
          <t>PLUR Enterprise subscription (12 months, Founding Partner rate)</t>
        </is>
      </c>
      <c r="C113" s="12" t="n"/>
      <c r="D113" s="12" t="n"/>
      <c r="E113" s="12" t="n"/>
      <c r="F113" s="12" t="n"/>
      <c r="G113" s="12" t="n"/>
      <c r="H113" s="37">
        <f>H36</f>
        <v/>
      </c>
    </row>
    <row r="114">
      <c r="A114" s="12" t="n"/>
      <c r="B114" s="14" t="inlineStr">
        <is>
          <t>Knowledge Engineering (custom project, standard rate)</t>
        </is>
      </c>
      <c r="C114" s="12" t="n"/>
      <c r="D114" s="12" t="n"/>
      <c r="E114" s="12" t="n"/>
      <c r="F114" s="12" t="n"/>
      <c r="G114" s="12" t="n"/>
      <c r="H114" s="37">
        <f>H91</f>
        <v/>
      </c>
    </row>
    <row r="115">
      <c r="A115" s="56" t="n"/>
      <c r="B115" s="57" t="inlineStr">
        <is>
          <t>FIRST-YEAR TOTAL</t>
        </is>
      </c>
      <c r="C115" s="56" t="n"/>
      <c r="D115" s="56" t="n"/>
      <c r="E115" s="56" t="n"/>
      <c r="F115" s="56" t="n"/>
      <c r="G115" s="56" t="n"/>
      <c r="H115" s="58">
        <f>H113+H114</f>
        <v/>
      </c>
    </row>
    <row r="116">
      <c r="B116" s="18" t="inlineStr">
        <is>
          <t>Monthly equivalent</t>
        </is>
      </c>
      <c r="H116" s="59">
        <f>H115/$C$8</f>
        <v/>
      </c>
    </row>
    <row r="117">
      <c r="B117" s="18" t="inlineStr">
        <is>
          <t>vs list price (no Founding Partner discount)</t>
        </is>
      </c>
      <c r="H117" s="60">
        <f>$C$4*$C$5*$C$8+H91</f>
        <v/>
      </c>
    </row>
    <row r="118">
      <c r="B118" s="16" t="inlineStr">
        <is>
          <t>Your savings as Founding Partner</t>
        </is>
      </c>
      <c r="H118" s="61">
        <f>H117-H115</f>
        <v/>
      </c>
    </row>
    <row r="121">
      <c r="A121" s="9" t="inlineStr">
        <is>
          <t>ROI ESTIMATE</t>
        </is>
      </c>
    </row>
    <row r="122">
      <c r="A122" s="12" t="n"/>
      <c r="B122" s="14" t="inlineStr">
        <is>
          <t>Developer time searching for information (McKinsey)</t>
        </is>
      </c>
      <c r="C122" s="12" t="n"/>
      <c r="D122" s="12" t="n"/>
      <c r="E122" s="12" t="n"/>
      <c r="F122" s="12" t="n"/>
      <c r="G122" s="12" t="n"/>
      <c r="H122" s="29" t="inlineStr">
        <is>
          <t>1.8 hours/day</t>
        </is>
      </c>
    </row>
    <row r="123">
      <c r="A123" s="12" t="n"/>
      <c r="B123" s="14" t="inlineStr">
        <is>
          <t>Context switching cost per developer/year</t>
        </is>
      </c>
      <c r="C123" s="12" t="n"/>
      <c r="D123" s="12" t="n"/>
      <c r="E123" s="12" t="n"/>
      <c r="F123" s="12" t="n"/>
      <c r="G123" s="12" t="n"/>
      <c r="H123" s="29" t="inlineStr">
        <is>
          <t>~€50,000</t>
        </is>
      </c>
    </row>
    <row r="125">
      <c r="A125" s="12" t="n"/>
      <c r="B125" s="13" t="inlineStr">
        <is>
          <t>Conservative: saving 15 min/day per developer</t>
        </is>
      </c>
      <c r="C125" s="12" t="n"/>
      <c r="D125" s="12" t="n"/>
      <c r="E125" s="12" t="n"/>
      <c r="F125" s="12" t="n"/>
      <c r="G125" s="12" t="n"/>
      <c r="H125" s="12" t="n"/>
    </row>
    <row r="126">
      <c r="A126" s="12" t="n"/>
      <c r="B126" s="13" t="inlineStr">
        <is>
          <t>Annual recovered value</t>
        </is>
      </c>
      <c r="C126" s="12" t="n"/>
      <c r="D126" s="12" t="n"/>
      <c r="E126" s="12" t="n"/>
      <c r="F126" s="12" t="n"/>
      <c r="G126" s="12" t="n"/>
      <c r="H126" s="62">
        <f>$C$4*0.25*220*$C$7</f>
        <v/>
      </c>
    </row>
    <row r="127">
      <c r="A127" s="56" t="n"/>
      <c r="B127" s="57" t="inlineStr">
        <is>
          <t>ROI (recovered value / investment)</t>
        </is>
      </c>
      <c r="C127" s="56" t="n"/>
      <c r="D127" s="56" t="n"/>
      <c r="E127" s="56" t="n"/>
      <c r="F127" s="56" t="n"/>
      <c r="G127" s="56" t="n"/>
      <c r="H127" s="63">
        <f>H126/H115</f>
        <v/>
      </c>
    </row>
    <row r="128">
      <c r="B128" s="18" t="inlineStr">
        <is>
          <t>Break-even (months)</t>
        </is>
      </c>
      <c r="H128" s="64">
        <f>H115/(H126/12)</f>
        <v/>
      </c>
    </row>
    <row r="131">
      <c r="A131" s="65" t="inlineStr">
        <is>
          <t>MARGIN ANALYSIS (INTERNAL ONLY)</t>
        </is>
      </c>
    </row>
    <row r="132">
      <c r="A132" s="12" t="n"/>
      <c r="B132" s="14" t="inlineStr">
        <is>
          <t>Subscription revenue (12 months)</t>
        </is>
      </c>
      <c r="C132" s="12" t="n"/>
      <c r="D132" s="12" t="n"/>
      <c r="E132" s="12" t="n"/>
      <c r="F132" s="12" t="n"/>
      <c r="G132" s="12" t="n"/>
      <c r="H132" s="37">
        <f>H36</f>
        <v/>
      </c>
    </row>
    <row r="133">
      <c r="A133" s="12" t="n"/>
      <c r="B133" s="14" t="inlineStr">
        <is>
          <t>Subscription cost (platform + ~8h/mo support)</t>
        </is>
      </c>
      <c r="C133" s="12" t="n"/>
      <c r="D133" s="12" t="n"/>
      <c r="E133" s="12" t="n"/>
      <c r="F133" s="12" t="n"/>
      <c r="G133" s="12" t="n"/>
      <c r="H133" s="37">
        <f>$C$10+8*$C$9*$C$8</f>
        <v/>
      </c>
    </row>
    <row r="134">
      <c r="A134" s="38" t="n"/>
      <c r="B134" s="39" t="inlineStr">
        <is>
          <t>Subscription margin</t>
        </is>
      </c>
      <c r="C134" s="38" t="n"/>
      <c r="D134" s="38" t="n"/>
      <c r="E134" s="38" t="n"/>
      <c r="F134" s="38" t="n"/>
      <c r="G134" s="38" t="n"/>
      <c r="H134" s="41">
        <f>H132-H133</f>
        <v/>
      </c>
    </row>
    <row r="136">
      <c r="A136" s="12" t="n"/>
      <c r="B136" s="14" t="inlineStr">
        <is>
          <t>Knowledge Engineering revenue</t>
        </is>
      </c>
      <c r="C136" s="12" t="n"/>
      <c r="D136" s="12" t="n"/>
      <c r="E136" s="12" t="n"/>
      <c r="F136" s="12" t="n"/>
      <c r="G136" s="12" t="n"/>
      <c r="H136" s="37">
        <f>H91</f>
        <v/>
      </c>
    </row>
    <row r="137">
      <c r="A137" s="12" t="n"/>
      <c r="B137" s="14" t="inlineStr">
        <is>
          <t>Knowledge Engineering cost (hours × internal rate)</t>
        </is>
      </c>
      <c r="C137" s="12" t="n"/>
      <c r="D137" s="12" t="n"/>
      <c r="E137" s="12" t="n"/>
      <c r="F137" s="12" t="n"/>
      <c r="G137" s="12" t="n"/>
      <c r="H137" s="37">
        <f>G91*$C$9</f>
        <v/>
      </c>
    </row>
    <row r="138">
      <c r="A138" s="38" t="n"/>
      <c r="B138" s="39" t="inlineStr">
        <is>
          <t>Knowledge Engineering margin</t>
        </is>
      </c>
      <c r="C138" s="38" t="n"/>
      <c r="D138" s="38" t="n"/>
      <c r="E138" s="38" t="n"/>
      <c r="F138" s="38" t="n"/>
      <c r="G138" s="38" t="n"/>
      <c r="H138" s="41">
        <f>H136-H137</f>
        <v/>
      </c>
    </row>
    <row r="140">
      <c r="A140" s="66" t="n"/>
      <c r="B140" s="67" t="inlineStr">
        <is>
          <t>TOTAL FIRST-YEAR MARGIN</t>
        </is>
      </c>
      <c r="C140" s="66" t="n"/>
      <c r="D140" s="66" t="n"/>
      <c r="E140" s="66" t="n"/>
      <c r="F140" s="66" t="n"/>
      <c r="G140" s="66" t="n"/>
      <c r="H140" s="68">
        <f>H134+H138</f>
        <v/>
      </c>
    </row>
    <row r="141">
      <c r="B141" s="18" t="inlineStr">
        <is>
          <t>Margin % on revenue</t>
        </is>
      </c>
      <c r="H141" s="69">
        <f>H140/H115</f>
        <v/>
      </c>
    </row>
    <row r="144">
      <c r="A144" s="7" t="inlineStr">
        <is>
          <t>Design Partner Benefits</t>
        </is>
      </c>
    </row>
    <row r="145">
      <c r="B145" s="8" t="inlineStr">
        <is>
          <t xml:space="preserve">  30% Founding Partner discount on PLUR Enterprise subscription</t>
        </is>
      </c>
    </row>
    <row r="146">
      <c r="B146" s="8" t="inlineStr">
        <is>
          <t xml:space="preserve">  Guaranteed best rate — you will never pay more than any future customer</t>
        </is>
      </c>
    </row>
    <row r="147">
      <c r="B147" s="8" t="inlineStr">
        <is>
          <t xml:space="preserve">  Influence on product roadmap — your requirements built first</t>
        </is>
      </c>
    </row>
    <row r="148">
      <c r="B148" s="8" t="inlineStr">
        <is>
          <t xml:space="preserve">  White-label &amp; reseller rights (pre-negotiated for future)</t>
        </is>
      </c>
    </row>
    <row r="149">
      <c r="B149" s="8" t="inlineStr">
        <is>
          <t xml:space="preserve">  Partnership continues with Datacore Enterprise on same terms</t>
        </is>
      </c>
    </row>
    <row r="150">
      <c r="B150" s="8" t="inlineStr">
        <is>
          <t xml:space="preserve">  Case study &amp; reference customer agreement</t>
        </is>
      </c>
    </row>
    <row r="151">
      <c r="B151" s="8" t="inlineStr">
        <is>
          <t xml:space="preserve">  Integration phase included — no charges before go-live</t>
        </is>
      </c>
    </row>
    <row r="152">
      <c r="B152" s="8" t="inlineStr">
        <is>
          <t xml:space="preserve">  Weekly check-ins + quarterly strategic reviews</t>
        </is>
      </c>
    </row>
    <row r="155">
      <c r="A155" s="7" t="inlineStr">
        <is>
          <t>Notes</t>
        </is>
      </c>
    </row>
    <row r="156">
      <c r="B156" s="55" t="inlineStr">
        <is>
          <t xml:space="preserve">  All prices exclude VAT.</t>
        </is>
      </c>
    </row>
    <row r="157">
      <c r="B157" s="55" t="inlineStr">
        <is>
          <t xml:space="preserve">  Subscription: 12-month commitment starting at go-live (June 2026). No charges during integration.</t>
        </is>
      </c>
    </row>
    <row r="158">
      <c r="B158" s="55" t="inlineStr">
        <is>
          <t xml:space="preserve">  Founding Partner rate: guaranteed best rate — you will never pay more than any future customer.</t>
        </is>
      </c>
    </row>
    <row r="159">
      <c r="B159" s="55" t="inlineStr">
        <is>
          <t xml:space="preserve">  Knowledge Engineering: invoiced on actuals at standard consulting rate, with weekly reporting.</t>
        </is>
      </c>
    </row>
    <row r="160">
      <c r="B160" s="55" t="inlineStr">
        <is>
          <t xml:space="preserve">  Datacore Enterprise (AI Development Team): scoped and priced as monthly AI roles after PLUR is in place.</t>
        </is>
      </c>
    </row>
    <row r="161">
      <c r="B161" s="55" t="inlineStr">
        <is>
          <t xml:space="preserve">  GitHub provider available as future add-on when needed.</t>
        </is>
      </c>
    </row>
    <row r="162">
      <c r="B162" s="55" t="inlineStr">
        <is>
          <t xml:space="preserve">  We use Claude Code and AI-assisted development — this is how we deliver fast.</t>
        </is>
      </c>
    </row>
    <row r="163">
      <c r="B163" s="55" t="inlineStr">
        <is>
          <t xml:space="preserve">  Yellow cells are adjustable — all totals recalculate automatically.</t>
        </is>
      </c>
    </row>
    <row r="164">
      <c r="B164" s="55" t="inlineStr">
        <is>
          <t xml:space="preserve">  ROI based on McKinsey research (1.8h/day searching) and GitHub/Accenture productivity studies (25-55% gain).</t>
        </is>
      </c>
    </row>
    <row r="165">
      <c r="B165" s="55" t="inlineStr">
        <is>
          <t xml:space="preserve">  INTERNAL SHEET — do not share with client.</t>
        </is>
      </c>
    </row>
  </sheetData>
  <mergeCells count="71">
    <mergeCell ref="F20:H20"/>
    <mergeCell ref="D20:E20"/>
    <mergeCell ref="A155:H155"/>
    <mergeCell ref="C16:H16"/>
    <mergeCell ref="A39:H39"/>
    <mergeCell ref="A83:H83"/>
    <mergeCell ref="B25:C25"/>
    <mergeCell ref="A73:H73"/>
    <mergeCell ref="B158:H158"/>
    <mergeCell ref="A64:H64"/>
    <mergeCell ref="B22:C22"/>
    <mergeCell ref="F26:H26"/>
    <mergeCell ref="B30:H30"/>
    <mergeCell ref="D22:E22"/>
    <mergeCell ref="A1:H1"/>
    <mergeCell ref="B27:C27"/>
    <mergeCell ref="B164:H164"/>
    <mergeCell ref="A61:H61"/>
    <mergeCell ref="D21:E21"/>
    <mergeCell ref="F23:H23"/>
    <mergeCell ref="B160:H160"/>
    <mergeCell ref="B21:C21"/>
    <mergeCell ref="B163:H163"/>
    <mergeCell ref="F22:H22"/>
    <mergeCell ref="F104:G104"/>
    <mergeCell ref="F27:H27"/>
    <mergeCell ref="D27:E27"/>
    <mergeCell ref="B23:C23"/>
    <mergeCell ref="B109:H109"/>
    <mergeCell ref="F56:H56"/>
    <mergeCell ref="F58:H58"/>
    <mergeCell ref="B156:H156"/>
    <mergeCell ref="D26:E26"/>
    <mergeCell ref="B165:H165"/>
    <mergeCell ref="F106:G106"/>
    <mergeCell ref="A12:H12"/>
    <mergeCell ref="A18:H18"/>
    <mergeCell ref="B159:H159"/>
    <mergeCell ref="A3:H3"/>
    <mergeCell ref="A101:H101"/>
    <mergeCell ref="C13:H13"/>
    <mergeCell ref="F57:H57"/>
    <mergeCell ref="B161:H161"/>
    <mergeCell ref="F53:H53"/>
    <mergeCell ref="A32:H32"/>
    <mergeCell ref="F105:G105"/>
    <mergeCell ref="C15:H15"/>
    <mergeCell ref="D25:E25"/>
    <mergeCell ref="F25:H25"/>
    <mergeCell ref="F54:H54"/>
    <mergeCell ref="B24:C24"/>
    <mergeCell ref="A62:H62"/>
    <mergeCell ref="A100:H100"/>
    <mergeCell ref="D24:E24"/>
    <mergeCell ref="A131:H131"/>
    <mergeCell ref="C14:H14"/>
    <mergeCell ref="A144:H144"/>
    <mergeCell ref="B157:H157"/>
    <mergeCell ref="B20:C20"/>
    <mergeCell ref="B162:H162"/>
    <mergeCell ref="A52:H52"/>
    <mergeCell ref="D23:E23"/>
    <mergeCell ref="A121:H121"/>
    <mergeCell ref="A112:H112"/>
    <mergeCell ref="B29:H29"/>
    <mergeCell ref="B26:C26"/>
    <mergeCell ref="A93:H93"/>
    <mergeCell ref="F21:H21"/>
    <mergeCell ref="F55:H55"/>
    <mergeCell ref="B108:H108"/>
    <mergeCell ref="F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2026-04-24T12:02:42Z</dcterms:created>
  <dcterms:modified xmlns:dcterms="http://purl.org/dc/terms/" xmlns:xsi="http://www.w3.org/2001/XMLSchema-instance" xsi:type="dcterms:W3CDTF">2026-04-24T12:02:42Z</dcterms:modified>
</cp:coreProperties>
</file>