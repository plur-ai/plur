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</sheets>
  <definedNames>
    <definedName name="_xlnm.Print_Area" localSheetId="0">'Cost Breakdown'!$A$1:$H$120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EUR&quot;"/>
    <numFmt numFmtId="165" formatCode="-#,##0 &quot;EUR&quot;"/>
    <numFmt numFmtId="166" formatCode="#,##0 &quot;EUR/mo&quot;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E65100"/>
      <sz val="12"/>
    </font>
    <font>
      <name val="Calibri"/>
      <b val="1"/>
      <sz val="11"/>
    </font>
    <font>
      <name val="Calibri"/>
      <b val="1"/>
      <color rgb="00E65100"/>
      <sz val="11"/>
    </font>
    <font>
      <name val="Calibri"/>
      <b val="1"/>
      <sz val="12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2"/>
    </font>
    <font>
      <name val="Calibri"/>
      <color rgb="00CCCCCC"/>
      <sz val="11"/>
    </font>
    <font>
      <name val="Calibri"/>
      <i val="1"/>
      <color rgb="00666666"/>
      <sz val="11"/>
    </font>
    <font>
      <name val="Calibri"/>
      <color rgb="002E7D32"/>
      <sz val="11"/>
    </font>
    <font>
      <name val="Calibri"/>
      <b val="1"/>
      <color rgb="002E7D32"/>
      <sz val="12"/>
    </font>
    <font>
      <name val="Calibri"/>
      <color rgb="00999999"/>
      <sz val="11"/>
    </font>
    <font>
      <name val="Calibri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5">
    <border>
      <left/>
      <right/>
      <top/>
      <bottom/>
      <diagonal/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bottom style="thin">
        <color rgb="00CCCCCC"/>
      </bottom>
    </border>
    <border>
      <top style="thin">
        <color rgb="002F5496"/>
      </top>
      <bottom style="thin">
        <color rgb="002F5496"/>
      </bottom>
    </border>
    <border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1" applyAlignment="1" pivotButton="0" quotePrefix="0" xfId="0">
      <alignment horizontal="right"/>
    </xf>
    <xf numFmtId="9" fontId="4" fillId="2" borderId="1" applyAlignment="1" pivotButton="0" quotePrefix="0" xfId="0">
      <alignment horizontal="right"/>
    </xf>
    <xf numFmtId="1" fontId="4" fillId="2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right"/>
    </xf>
    <xf numFmtId="0" fontId="3" fillId="4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2" borderId="2" applyAlignment="1" pivotButton="0" quotePrefix="0" xfId="0">
      <alignment horizontal="right"/>
    </xf>
    <xf numFmtId="0" fontId="9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0" fillId="0" borderId="3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right"/>
    </xf>
    <xf numFmtId="164" fontId="3" fillId="0" borderId="3" applyAlignment="1" pivotButton="0" quotePrefix="0" xfId="0">
      <alignment horizontal="right"/>
    </xf>
    <xf numFmtId="0" fontId="0" fillId="0" borderId="2" pivotButton="0" quotePrefix="0" xfId="0"/>
    <xf numFmtId="0" fontId="10" fillId="0" borderId="2" pivotButton="0" quotePrefix="0" xfId="0"/>
    <xf numFmtId="164" fontId="4" fillId="2" borderId="2" applyAlignment="1" pivotButton="0" quotePrefix="0" xfId="0">
      <alignment horizontal="right"/>
    </xf>
    <xf numFmtId="0" fontId="0" fillId="0" borderId="4" pivotButton="0" quotePrefix="0" xfId="0"/>
    <xf numFmtId="0" fontId="5" fillId="0" borderId="4" pivotButton="0" quotePrefix="0" xfId="0"/>
    <xf numFmtId="0" fontId="5" fillId="0" borderId="4" applyAlignment="1" pivotButton="0" quotePrefix="0" xfId="0">
      <alignment horizontal="right"/>
    </xf>
    <xf numFmtId="164" fontId="5" fillId="0" borderId="4" applyAlignment="1" pivotButton="0" quotePrefix="0" xfId="0">
      <alignment horizontal="right"/>
    </xf>
    <xf numFmtId="0" fontId="11" fillId="0" borderId="0" pivotButton="0" quotePrefix="0" xfId="0"/>
    <xf numFmtId="165" fontId="11" fillId="0" borderId="0" applyAlignment="1" pivotButton="0" quotePrefix="0" xfId="0">
      <alignment horizontal="right"/>
    </xf>
    <xf numFmtId="0" fontId="0" fillId="5" borderId="4" pivotButton="0" quotePrefix="0" xfId="0"/>
    <xf numFmtId="0" fontId="12" fillId="5" borderId="4" pivotButton="0" quotePrefix="0" xfId="0"/>
    <xf numFmtId="164" fontId="12" fillId="5" borderId="4" applyAlignment="1" pivotButton="0" quotePrefix="0" xfId="0">
      <alignment horizontal="right"/>
    </xf>
    <xf numFmtId="0" fontId="0" fillId="3" borderId="0" pivotButton="0" quotePrefix="0" xfId="0"/>
    <xf numFmtId="0" fontId="8" fillId="3" borderId="0" pivotButton="0" quotePrefix="0" xfId="0"/>
    <xf numFmtId="0" fontId="0" fillId="6" borderId="4" pivotButton="0" quotePrefix="0" xfId="0"/>
    <xf numFmtId="0" fontId="2" fillId="6" borderId="4" pivotButton="0" quotePrefix="0" xfId="0"/>
    <xf numFmtId="166" fontId="2" fillId="6" borderId="4" applyAlignment="1" pivotButton="0" quotePrefix="0" xfId="0">
      <alignment horizontal="right"/>
    </xf>
    <xf numFmtId="0" fontId="13" fillId="0" borderId="0" pivotButton="0" quotePrefix="0" xfId="0"/>
    <xf numFmtId="164" fontId="3" fillId="0" borderId="0" applyAlignment="1" pivotButton="0" quotePrefix="0" xfId="0">
      <alignment horizontal="right"/>
    </xf>
    <xf numFmtId="0" fontId="14" fillId="0" borderId="0" pivotButton="0" quotePrefix="0" xfId="0"/>
    <xf numFmtId="164" fontId="1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9" fontId="6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PLUR Enterprise — Cost Breakdown</t>
        </is>
      </c>
    </row>
    <row r="3">
      <c r="A3" s="2" t="inlineStr">
        <is>
          <t>Parameters (adjust yellow cells)</t>
        </is>
      </c>
    </row>
    <row r="4">
      <c r="B4" s="3" t="inlineStr">
        <is>
          <t>Hourly rate (EUR)</t>
        </is>
      </c>
      <c r="C4" s="4" t="n">
        <v>85</v>
      </c>
    </row>
    <row r="5">
      <c r="B5" s="3" t="inlineStr">
        <is>
          <t>Design partner discount</t>
        </is>
      </c>
      <c r="C5" s="5" t="n">
        <v>0.2</v>
      </c>
    </row>
    <row r="6">
      <c r="B6" s="3" t="inlineStr">
        <is>
          <t>Monthly support retainer (EUR)</t>
        </is>
      </c>
      <c r="C6" s="4" t="n">
        <v>2500</v>
      </c>
    </row>
    <row r="7">
      <c r="B7" s="3" t="inlineStr">
        <is>
          <t>Monthly token budget (EUR)</t>
        </is>
      </c>
      <c r="C7" s="4" t="n">
        <v>150</v>
      </c>
    </row>
    <row r="8">
      <c r="B8" s="3" t="inlineStr">
        <is>
          <t>Monthly infrastructure (EUR)</t>
        </is>
      </c>
      <c r="C8" s="4" t="n">
        <v>100</v>
      </c>
    </row>
    <row r="9">
      <c r="B9" s="3" t="inlineStr">
        <is>
          <t>Support months in year 1</t>
        </is>
      </c>
      <c r="C9" s="6" t="n">
        <v>9</v>
      </c>
    </row>
    <row r="11">
      <c r="A11" s="7" t="inlineStr">
        <is>
          <t>Team</t>
        </is>
      </c>
    </row>
    <row r="12">
      <c r="B12" s="3" t="inlineStr">
        <is>
          <t>Gregor</t>
        </is>
      </c>
      <c r="C12" s="8" t="inlineStr">
        <is>
          <t>Project Director, Lead Dev</t>
        </is>
      </c>
    </row>
    <row r="13">
      <c r="B13" s="3" t="inlineStr">
        <is>
          <t>Tadej</t>
        </is>
      </c>
      <c r="C13" s="8" t="inlineStr">
        <is>
          <t>CTO, Tech Lead</t>
        </is>
      </c>
    </row>
    <row r="14">
      <c r="B14" s="3" t="inlineStr">
        <is>
          <t>Marko</t>
        </is>
      </c>
      <c r="C14" s="8" t="inlineStr">
        <is>
          <t>DevOps</t>
        </is>
      </c>
    </row>
    <row r="15">
      <c r="B15" s="3" t="inlineStr">
        <is>
          <t>Crt</t>
        </is>
      </c>
      <c r="C15" s="8" t="inlineStr">
        <is>
          <t>PM, Data Scientist</t>
        </is>
      </c>
    </row>
    <row r="17">
      <c r="A17" s="9" t="inlineStr">
        <is>
          <t>PROJECT DELIVERY</t>
        </is>
      </c>
    </row>
    <row r="18">
      <c r="A18" s="10" t="inlineStr">
        <is>
          <t>#</t>
        </is>
      </c>
      <c r="B18" s="10" t="inlineStr">
        <is>
          <t>Deliverable</t>
        </is>
      </c>
      <c r="C18" s="11" t="inlineStr">
        <is>
          <t>Gregor</t>
        </is>
      </c>
      <c r="D18" s="11" t="inlineStr">
        <is>
          <t>Tadej</t>
        </is>
      </c>
      <c r="E18" s="11" t="inlineStr">
        <is>
          <t>Marko</t>
        </is>
      </c>
      <c r="F18" s="11" t="inlineStr">
        <is>
          <t>Crt</t>
        </is>
      </c>
      <c r="G18" s="11" t="inlineStr">
        <is>
          <t>Total h</t>
        </is>
      </c>
      <c r="H18" s="11" t="inlineStr">
        <is>
          <t>Cost (EUR)</t>
        </is>
      </c>
    </row>
    <row r="19">
      <c r="A19" s="12" t="inlineStr">
        <is>
          <t>Phase 1 — Shared Memory (50 users)</t>
        </is>
      </c>
    </row>
    <row r="20">
      <c r="A20" s="13" t="n">
        <v>1</v>
      </c>
      <c r="B20" s="14" t="inlineStr">
        <is>
          <t>PostgreSQL backend with graph (AGE) + vector search</t>
        </is>
      </c>
      <c r="C20" s="15" t="n">
        <v>8</v>
      </c>
      <c r="D20" s="15" t="n">
        <v>20</v>
      </c>
      <c r="E20" s="15" t="n">
        <v>4</v>
      </c>
      <c r="F20" s="16" t="n"/>
      <c r="G20" s="17">
        <f>SUM(C20:F20)</f>
        <v/>
      </c>
      <c r="H20" s="18">
        <f>G20*$C$4</f>
        <v/>
      </c>
    </row>
    <row r="21">
      <c r="A21" s="13" t="n">
        <v>2</v>
      </c>
      <c r="B21" s="14" t="inlineStr">
        <is>
          <t>Multi-user MCP server (HTTP/SSE transport)</t>
        </is>
      </c>
      <c r="C21" s="15" t="n">
        <v>4</v>
      </c>
      <c r="D21" s="15" t="n">
        <v>16</v>
      </c>
      <c r="E21" s="16" t="n"/>
      <c r="F21" s="16" t="n"/>
      <c r="G21" s="17">
        <f>SUM(C21:F21)</f>
        <v/>
      </c>
      <c r="H21" s="18">
        <f>G21*$C$4</f>
        <v/>
      </c>
    </row>
    <row r="22">
      <c r="A22" s="13" t="n">
        <v>3</v>
      </c>
      <c r="B22" s="14" t="inlineStr">
        <is>
          <t>GitLab SSO integration (OAuth2/OIDC + PKCE)</t>
        </is>
      </c>
      <c r="C22" s="16" t="n"/>
      <c r="D22" s="15" t="n">
        <v>20</v>
      </c>
      <c r="E22" s="16" t="n"/>
      <c r="F22" s="16" t="n"/>
      <c r="G22" s="17">
        <f>SUM(C22:F22)</f>
        <v/>
      </c>
      <c r="H22" s="18">
        <f>G22*$C$4</f>
        <v/>
      </c>
    </row>
    <row r="23">
      <c r="A23" s="13" t="n">
        <v>4</v>
      </c>
      <c r="B23" s="14" t="inlineStr">
        <is>
          <t>Scope-based access control + role-level permissions</t>
        </is>
      </c>
      <c r="C23" s="16" t="n"/>
      <c r="D23" s="15" t="n">
        <v>24</v>
      </c>
      <c r="E23" s="16" t="n"/>
      <c r="F23" s="16" t="n"/>
      <c r="G23" s="17">
        <f>SUM(C23:F23)</f>
        <v/>
      </c>
      <c r="H23" s="18">
        <f>G23*$C$4</f>
        <v/>
      </c>
    </row>
    <row r="24">
      <c r="A24" s="13" t="n">
        <v>5</v>
      </c>
      <c r="B24" s="14" t="inlineStr">
        <is>
          <t>MCP tool security (allowlist, write enforcement)</t>
        </is>
      </c>
      <c r="C24" s="15" t="n">
        <v>4</v>
      </c>
      <c r="D24" s="15" t="n">
        <v>12</v>
      </c>
      <c r="E24" s="16" t="n"/>
      <c r="F24" s="16" t="n"/>
      <c r="G24" s="17">
        <f>SUM(C24:F24)</f>
        <v/>
      </c>
      <c r="H24" s="18">
        <f>G24*$C$4</f>
        <v/>
      </c>
    </row>
    <row r="25">
      <c r="A25" s="13" t="n">
        <v>6</v>
      </c>
      <c r="B25" s="14" t="inlineStr">
        <is>
          <t>Structured logging, audit trail &amp; PII handling</t>
        </is>
      </c>
      <c r="C25" s="16" t="n"/>
      <c r="D25" s="15" t="n">
        <v>8</v>
      </c>
      <c r="E25" s="15" t="n">
        <v>4</v>
      </c>
      <c r="F25" s="16" t="n"/>
      <c r="G25" s="17">
        <f>SUM(C25:F25)</f>
        <v/>
      </c>
      <c r="H25" s="18">
        <f>G25*$C$4</f>
        <v/>
      </c>
    </row>
    <row r="26">
      <c r="A26" s="13" t="n">
        <v>7</v>
      </c>
      <c r="B26" s="14" t="inlineStr">
        <is>
          <t>Admin dashboard (usage, health, audit log)</t>
        </is>
      </c>
      <c r="C26" s="15" t="n">
        <v>24</v>
      </c>
      <c r="D26" s="15" t="n">
        <v>8</v>
      </c>
      <c r="E26" s="16" t="n"/>
      <c r="F26" s="16" t="n"/>
      <c r="G26" s="17">
        <f>SUM(C26:F26)</f>
        <v/>
      </c>
      <c r="H26" s="18">
        <f>G26*$C$4</f>
        <v/>
      </c>
    </row>
    <row r="27">
      <c r="A27" s="13" t="n">
        <v>8</v>
      </c>
      <c r="B27" s="14" t="inlineStr">
        <is>
          <t>Monitoring &amp; alerting</t>
        </is>
      </c>
      <c r="C27" s="16" t="n"/>
      <c r="D27" s="16" t="n"/>
      <c r="E27" s="15" t="n">
        <v>12</v>
      </c>
      <c r="F27" s="16" t="n"/>
      <c r="G27" s="17">
        <f>SUM(C27:F27)</f>
        <v/>
      </c>
      <c r="H27" s="18">
        <f>G27*$C$4</f>
        <v/>
      </c>
    </row>
    <row r="28">
      <c r="A28" s="13" t="n">
        <v>9</v>
      </c>
      <c r="B28" s="14" t="inlineStr">
        <is>
          <t>Server deployment (TLS, CI/CD, backups)</t>
        </is>
      </c>
      <c r="C28" s="16" t="n"/>
      <c r="D28" s="15" t="n">
        <v>4</v>
      </c>
      <c r="E28" s="15" t="n">
        <v>16</v>
      </c>
      <c r="F28" s="16" t="n"/>
      <c r="G28" s="17">
        <f>SUM(C28:F28)</f>
        <v/>
      </c>
      <c r="H28" s="18">
        <f>G28*$C$4</f>
        <v/>
      </c>
    </row>
    <row r="29">
      <c r="A29" s="13" t="n">
        <v>10</v>
      </c>
      <c r="B29" s="14" t="inlineStr">
        <is>
          <t>IDE compatibility validation &amp; documentation</t>
        </is>
      </c>
      <c r="C29" s="16" t="n"/>
      <c r="D29" s="15" t="n">
        <v>4</v>
      </c>
      <c r="E29" s="16" t="n"/>
      <c r="F29" s="15" t="n">
        <v>8</v>
      </c>
      <c r="G29" s="17">
        <f>SUM(C29:F29)</f>
        <v/>
      </c>
      <c r="H29" s="18">
        <f>G29*$C$4</f>
        <v/>
      </c>
    </row>
    <row r="30">
      <c r="A30" s="13" t="n">
        <v>11</v>
      </c>
      <c r="B30" s="14" t="inlineStr">
        <is>
          <t>Onboarding all 50 users</t>
        </is>
      </c>
      <c r="C30" s="15" t="n">
        <v>4</v>
      </c>
      <c r="D30" s="16" t="n"/>
      <c r="E30" s="16" t="n"/>
      <c r="F30" s="15" t="n">
        <v>12</v>
      </c>
      <c r="G30" s="17">
        <f>SUM(C30:F30)</f>
        <v/>
      </c>
      <c r="H30" s="18">
        <f>G30*$C$4</f>
        <v/>
      </c>
    </row>
    <row r="31">
      <c r="A31" s="19" t="n"/>
      <c r="B31" s="20" t="inlineStr">
        <is>
          <t>Subtotal — Phase 1</t>
        </is>
      </c>
      <c r="C31" s="21">
        <f>SUM(C20:C30)</f>
        <v/>
      </c>
      <c r="D31" s="21">
        <f>SUM(D20:D30)</f>
        <v/>
      </c>
      <c r="E31" s="21">
        <f>SUM(E20:E30)</f>
        <v/>
      </c>
      <c r="F31" s="21">
        <f>SUM(F20:F30)</f>
        <v/>
      </c>
      <c r="G31" s="21">
        <f>SUM(G20:G30)</f>
        <v/>
      </c>
      <c r="H31" s="22">
        <f>SUM(H20:H30)</f>
        <v/>
      </c>
    </row>
    <row r="32">
      <c r="A32" s="23" t="n"/>
      <c r="B32" s="24" t="inlineStr">
        <is>
          <t>AI compute (tokens)</t>
        </is>
      </c>
      <c r="C32" s="23" t="n"/>
      <c r="D32" s="23" t="n"/>
      <c r="E32" s="23" t="n"/>
      <c r="F32" s="23" t="n"/>
      <c r="G32" s="23" t="n"/>
      <c r="H32" s="25" t="n">
        <v>1450</v>
      </c>
    </row>
    <row r="34">
      <c r="A34" s="12" t="inlineStr">
        <is>
          <t>Phase 2 — Knowledge Engineering</t>
        </is>
      </c>
    </row>
    <row r="35">
      <c r="A35" s="13" t="n">
        <v>1</v>
      </c>
      <c r="B35" s="14" t="inlineStr">
        <is>
          <t>Repo scanning pipeline (1,400 repos — configs, CI, docs)</t>
        </is>
      </c>
      <c r="C35" s="16" t="n"/>
      <c r="D35" s="15" t="n">
        <v>8</v>
      </c>
      <c r="E35" s="16" t="n"/>
      <c r="F35" s="15" t="n">
        <v>16</v>
      </c>
      <c r="G35" s="17">
        <f>SUM(C35:F35)</f>
        <v/>
      </c>
      <c r="H35" s="18">
        <f>G35*$C$4</f>
        <v/>
      </c>
    </row>
    <row r="36">
      <c r="A36" s="13" t="n">
        <v>2</v>
      </c>
      <c r="B36" s="14" t="inlineStr">
        <is>
          <t>Convention &amp; pattern extraction engine</t>
        </is>
      </c>
      <c r="C36" s="16" t="n"/>
      <c r="D36" s="15" t="n">
        <v>8</v>
      </c>
      <c r="E36" s="16" t="n"/>
      <c r="F36" s="15" t="n">
        <v>20</v>
      </c>
      <c r="G36" s="17">
        <f>SUM(C36:F36)</f>
        <v/>
      </c>
      <c r="H36" s="18">
        <f>G36*$C$4</f>
        <v/>
      </c>
    </row>
    <row r="37">
      <c r="A37" s="13" t="n">
        <v>3</v>
      </c>
      <c r="B37" s="14" t="inlineStr">
        <is>
          <t>Engram generation + quality tuning (multiple passes)</t>
        </is>
      </c>
      <c r="C37" s="15" t="n">
        <v>8</v>
      </c>
      <c r="D37" s="16" t="n"/>
      <c r="E37" s="16" t="n"/>
      <c r="F37" s="15" t="n">
        <v>12</v>
      </c>
      <c r="G37" s="17">
        <f>SUM(C37:F37)</f>
        <v/>
      </c>
      <c r="H37" s="18">
        <f>G37*$C$4</f>
        <v/>
      </c>
    </row>
    <row r="38">
      <c r="A38" s="13" t="n">
        <v>4</v>
      </c>
      <c r="B38" s="14" t="inlineStr">
        <is>
          <t>Knowledge pack packaging (per-project, per-group, org)</t>
        </is>
      </c>
      <c r="C38" s="16" t="n"/>
      <c r="D38" s="15" t="n">
        <v>8</v>
      </c>
      <c r="E38" s="16" t="n"/>
      <c r="F38" s="15" t="n">
        <v>8</v>
      </c>
      <c r="G38" s="17">
        <f>SUM(C38:F38)</f>
        <v/>
      </c>
      <c r="H38" s="18">
        <f>G38*$C$4</f>
        <v/>
      </c>
    </row>
    <row r="39">
      <c r="A39" s="13" t="n">
        <v>5</v>
      </c>
      <c r="B39" s="14" t="inlineStr">
        <is>
          <t>Review &amp; curation workflow with tech leads</t>
        </is>
      </c>
      <c r="C39" s="15" t="n">
        <v>8</v>
      </c>
      <c r="D39" s="16" t="n"/>
      <c r="E39" s="16" t="n"/>
      <c r="F39" s="15" t="n">
        <v>8</v>
      </c>
      <c r="G39" s="17">
        <f>SUM(C39:F39)</f>
        <v/>
      </c>
      <c r="H39" s="18">
        <f>G39*$C$4</f>
        <v/>
      </c>
    </row>
    <row r="40">
      <c r="A40" s="13" t="n">
        <v>6</v>
      </c>
      <c r="B40" s="14" t="inlineStr">
        <is>
          <t>Quality feedback loop (signals tune extraction)</t>
        </is>
      </c>
      <c r="C40" s="16" t="n"/>
      <c r="D40" s="15" t="n">
        <v>4</v>
      </c>
      <c r="E40" s="16" t="n"/>
      <c r="F40" s="15" t="n">
        <v>8</v>
      </c>
      <c r="G40" s="17">
        <f>SUM(C40:F40)</f>
        <v/>
      </c>
      <c r="H40" s="18">
        <f>G40*$C$4</f>
        <v/>
      </c>
    </row>
    <row r="41">
      <c r="A41" s="13" t="n">
        <v>7</v>
      </c>
      <c r="B41" s="14" t="inlineStr">
        <is>
          <t>New project hook (auto-extraction on repo creation)</t>
        </is>
      </c>
      <c r="C41" s="16" t="n"/>
      <c r="D41" s="15" t="n">
        <v>8</v>
      </c>
      <c r="E41" s="15" t="n">
        <v>8</v>
      </c>
      <c r="F41" s="16" t="n"/>
      <c r="G41" s="17">
        <f>SUM(C41:F41)</f>
        <v/>
      </c>
      <c r="H41" s="18">
        <f>G41*$C$4</f>
        <v/>
      </c>
    </row>
    <row r="42">
      <c r="A42" s="19" t="n"/>
      <c r="B42" s="20" t="inlineStr">
        <is>
          <t>Subtotal — Phase 2</t>
        </is>
      </c>
      <c r="C42" s="21">
        <f>SUM(C35:C41)</f>
        <v/>
      </c>
      <c r="D42" s="21">
        <f>SUM(D35:D41)</f>
        <v/>
      </c>
      <c r="E42" s="21">
        <f>SUM(E35:E41)</f>
        <v/>
      </c>
      <c r="F42" s="21">
        <f>SUM(F35:F41)</f>
        <v/>
      </c>
      <c r="G42" s="21">
        <f>SUM(G35:G41)</f>
        <v/>
      </c>
      <c r="H42" s="22">
        <f>SUM(H35:H41)</f>
        <v/>
      </c>
    </row>
    <row r="43">
      <c r="A43" s="23" t="n"/>
      <c r="B43" s="24" t="inlineStr">
        <is>
          <t>AI compute (tokens)</t>
        </is>
      </c>
      <c r="C43" s="23" t="n"/>
      <c r="D43" s="23" t="n"/>
      <c r="E43" s="23" t="n"/>
      <c r="F43" s="23" t="n"/>
      <c r="G43" s="23" t="n"/>
      <c r="H43" s="25" t="n">
        <v>580</v>
      </c>
    </row>
    <row r="45">
      <c r="A45" s="12" t="inlineStr">
        <is>
          <t>Phase 3 — AI Development Team (Datacore Enterprise)</t>
        </is>
      </c>
    </row>
    <row r="46">
      <c r="A46" s="13" t="n">
        <v>1</v>
      </c>
      <c r="B46" s="14" t="inlineStr">
        <is>
          <t>AI Chief of Staff — org-wide operational intelligence</t>
        </is>
      </c>
      <c r="C46" s="15" t="n">
        <v>8</v>
      </c>
      <c r="D46" s="15" t="n">
        <v>16</v>
      </c>
      <c r="E46" s="16" t="n"/>
      <c r="F46" s="15" t="n">
        <v>4</v>
      </c>
      <c r="G46" s="17">
        <f>SUM(C46:F46)</f>
        <v/>
      </c>
      <c r="H46" s="18">
        <f>G46*$C$4</f>
        <v/>
      </c>
    </row>
    <row r="47">
      <c r="A47" s="13" t="n">
        <v>2</v>
      </c>
      <c r="B47" s="14" t="inlineStr">
        <is>
          <t>Insight Agent — proactive pattern detection &amp; recommendations</t>
        </is>
      </c>
      <c r="C47" s="15" t="n">
        <v>8</v>
      </c>
      <c r="D47" s="15" t="n">
        <v>12</v>
      </c>
      <c r="E47" s="16" t="n"/>
      <c r="F47" s="15" t="n">
        <v>8</v>
      </c>
      <c r="G47" s="17">
        <f>SUM(C47:F47)</f>
        <v/>
      </c>
      <c r="H47" s="18">
        <f>G47*$C$4</f>
        <v/>
      </c>
    </row>
    <row r="48">
      <c r="A48" s="13" t="n">
        <v>3</v>
      </c>
      <c r="B48" s="14" t="inlineStr">
        <is>
          <t>Onboarding Companion — interactive guide for new developers</t>
        </is>
      </c>
      <c r="C48" s="15" t="n">
        <v>4</v>
      </c>
      <c r="D48" s="15" t="n">
        <v>12</v>
      </c>
      <c r="E48" s="16" t="n"/>
      <c r="F48" s="15" t="n">
        <v>8</v>
      </c>
      <c r="G48" s="17">
        <f>SUM(C48:F48)</f>
        <v/>
      </c>
      <c r="H48" s="18">
        <f>G48*$C$4</f>
        <v/>
      </c>
    </row>
    <row r="49">
      <c r="A49" s="13" t="n">
        <v>4</v>
      </c>
      <c r="B49" s="14" t="inlineStr">
        <is>
          <t>Orchestration engine (task queue, routing, quality gates)</t>
        </is>
      </c>
      <c r="C49" s="15" t="n">
        <v>16</v>
      </c>
      <c r="D49" s="15" t="n">
        <v>20</v>
      </c>
      <c r="E49" s="16" t="n"/>
      <c r="F49" s="16" t="n"/>
      <c r="G49" s="17">
        <f>SUM(C49:F49)</f>
        <v/>
      </c>
      <c r="H49" s="18">
        <f>G49*$C$4</f>
        <v/>
      </c>
    </row>
    <row r="50">
      <c r="A50" s="13" t="n">
        <v>5</v>
      </c>
      <c r="B50" s="14" t="inlineStr">
        <is>
          <t>GitLab CI/CD integration (agents triggered from pipelines)</t>
        </is>
      </c>
      <c r="C50" s="16" t="n"/>
      <c r="D50" s="15" t="n">
        <v>8</v>
      </c>
      <c r="E50" s="15" t="n">
        <v>8</v>
      </c>
      <c r="F50" s="16" t="n"/>
      <c r="G50" s="17">
        <f>SUM(C50:F50)</f>
        <v/>
      </c>
      <c r="H50" s="18">
        <f>G50*$C$4</f>
        <v/>
      </c>
    </row>
    <row r="51">
      <c r="A51" s="13" t="n">
        <v>6</v>
      </c>
      <c r="B51" s="14" t="inlineStr">
        <is>
          <t>Dashboard (execution monitoring, success rates, cost)</t>
        </is>
      </c>
      <c r="C51" s="15" t="n">
        <v>12</v>
      </c>
      <c r="D51" s="15" t="n">
        <v>8</v>
      </c>
      <c r="E51" s="16" t="n"/>
      <c r="F51" s="16" t="n"/>
      <c r="G51" s="17">
        <f>SUM(C51:F51)</f>
        <v/>
      </c>
      <c r="H51" s="18">
        <f>G51*$C$4</f>
        <v/>
      </c>
    </row>
    <row r="52">
      <c r="A52" s="13" t="n">
        <v>7</v>
      </c>
      <c r="B52" s="14" t="inlineStr">
        <is>
          <t>Workflow discovery &amp; configuration with client</t>
        </is>
      </c>
      <c r="C52" s="15" t="n">
        <v>4</v>
      </c>
      <c r="D52" s="16" t="n"/>
      <c r="E52" s="16" t="n"/>
      <c r="F52" s="15" t="n">
        <v>8</v>
      </c>
      <c r="G52" s="17">
        <f>SUM(C52:F52)</f>
        <v/>
      </c>
      <c r="H52" s="18">
        <f>G52*$C$4</f>
        <v/>
      </c>
    </row>
    <row r="53">
      <c r="A53" s="19" t="n"/>
      <c r="B53" s="20" t="inlineStr">
        <is>
          <t>Subtotal — Phase 3</t>
        </is>
      </c>
      <c r="C53" s="21">
        <f>SUM(C46:C52)</f>
        <v/>
      </c>
      <c r="D53" s="21">
        <f>SUM(D46:D52)</f>
        <v/>
      </c>
      <c r="E53" s="21">
        <f>SUM(E46:E52)</f>
        <v/>
      </c>
      <c r="F53" s="21">
        <f>SUM(F46:F52)</f>
        <v/>
      </c>
      <c r="G53" s="21">
        <f>SUM(G46:G52)</f>
        <v/>
      </c>
      <c r="H53" s="22">
        <f>SUM(H46:H52)</f>
        <v/>
      </c>
    </row>
    <row r="54">
      <c r="A54" s="23" t="n"/>
      <c r="B54" s="24" t="inlineStr">
        <is>
          <t>AI compute (tokens)</t>
        </is>
      </c>
      <c r="C54" s="23" t="n"/>
      <c r="D54" s="23" t="n"/>
      <c r="E54" s="23" t="n"/>
      <c r="F54" s="23" t="n"/>
      <c r="G54" s="23" t="n"/>
      <c r="H54" s="25" t="n">
        <v>870</v>
      </c>
    </row>
    <row r="56">
      <c r="A56" s="12" t="inlineStr">
        <is>
          <t>Add-on — GitHub Provider (when needed)</t>
        </is>
      </c>
    </row>
    <row r="57">
      <c r="A57" s="13" t="n">
        <v>1</v>
      </c>
      <c r="B57" s="14" t="inlineStr">
        <is>
          <t>GitHub SSO integration (OAuth + org sync)</t>
        </is>
      </c>
      <c r="C57" s="16" t="n"/>
      <c r="D57" s="15" t="n">
        <v>16</v>
      </c>
      <c r="E57" s="16" t="n"/>
      <c r="F57" s="16" t="n"/>
      <c r="G57" s="17">
        <f>SUM(C57:F57)</f>
        <v/>
      </c>
      <c r="H57" s="18">
        <f>G57*$C$4</f>
        <v/>
      </c>
    </row>
    <row r="58">
      <c r="A58" s="13" t="n">
        <v>2</v>
      </c>
      <c r="B58" s="14" t="inlineStr">
        <is>
          <t>GitHub webhook handler + membership sync</t>
        </is>
      </c>
      <c r="C58" s="16" t="n"/>
      <c r="D58" s="15" t="n">
        <v>8</v>
      </c>
      <c r="E58" s="15" t="n">
        <v>4</v>
      </c>
      <c r="F58" s="16" t="n"/>
      <c r="G58" s="17">
        <f>SUM(C58:F58)</f>
        <v/>
      </c>
      <c r="H58" s="18">
        <f>G58*$C$4</f>
        <v/>
      </c>
    </row>
    <row r="59">
      <c r="A59" s="19" t="n"/>
      <c r="B59" s="20" t="inlineStr">
        <is>
          <t>Subtotal — Add-on</t>
        </is>
      </c>
      <c r="C59" s="21">
        <f>SUM(C57:C58)</f>
        <v/>
      </c>
      <c r="D59" s="21">
        <f>SUM(D57:D58)</f>
        <v/>
      </c>
      <c r="E59" s="21">
        <f>SUM(E57:E58)</f>
        <v/>
      </c>
      <c r="F59" s="21">
        <f>SUM(F57:F58)</f>
        <v/>
      </c>
      <c r="G59" s="21">
        <f>SUM(G57:G58)</f>
        <v/>
      </c>
      <c r="H59" s="22">
        <f>SUM(H57:H58)</f>
        <v/>
      </c>
    </row>
    <row r="60">
      <c r="A60" s="23" t="n"/>
      <c r="B60" s="24" t="inlineStr">
        <is>
          <t>AI compute (tokens)</t>
        </is>
      </c>
      <c r="C60" s="23" t="n"/>
      <c r="D60" s="23" t="n"/>
      <c r="E60" s="23" t="n"/>
      <c r="F60" s="23" t="n"/>
      <c r="G60" s="23" t="n"/>
      <c r="H60" s="25" t="n">
        <v>0</v>
      </c>
    </row>
    <row r="62">
      <c r="A62" s="26" t="n"/>
      <c r="B62" s="27" t="inlineStr">
        <is>
          <t>PROJECT TOTAL</t>
        </is>
      </c>
      <c r="C62" s="28">
        <f>C31+C42+C53+C59</f>
        <v/>
      </c>
      <c r="D62" s="28">
        <f>D31+D42+D53+D59</f>
        <v/>
      </c>
      <c r="E62" s="28">
        <f>E31+E42+E53+E59</f>
        <v/>
      </c>
      <c r="F62" s="28">
        <f>F31+F42+F53+F59</f>
        <v/>
      </c>
      <c r="G62" s="28">
        <f>G31+G42+G53+G59</f>
        <v/>
      </c>
      <c r="H62" s="29">
        <f>H31+H32+H42+H43+H53+H54+H59+H60</f>
        <v/>
      </c>
    </row>
    <row r="63">
      <c r="B63" s="30" t="inlineStr">
        <is>
          <t>Design partner discount</t>
        </is>
      </c>
      <c r="H63" s="31">
        <f>-H62*$C$5</f>
        <v/>
      </c>
    </row>
    <row r="64">
      <c r="A64" s="32" t="n"/>
      <c r="B64" s="33" t="inlineStr">
        <is>
          <t>PROJECT DELIVERY (design partner price)</t>
        </is>
      </c>
      <c r="C64" s="32" t="n"/>
      <c r="D64" s="32" t="n"/>
      <c r="E64" s="32" t="n"/>
      <c r="F64" s="32" t="n"/>
      <c r="G64" s="32" t="n"/>
      <c r="H64" s="34">
        <f>H62+H63</f>
        <v/>
      </c>
    </row>
    <row r="67">
      <c r="A67" s="9" t="inlineStr">
        <is>
          <t>MONTHLY SUPPORT &amp; MAINTENANCE</t>
        </is>
      </c>
    </row>
    <row r="68">
      <c r="A68" s="35" t="n"/>
      <c r="B68" s="36" t="inlineStr">
        <is>
          <t>Included in monthly retainer</t>
        </is>
      </c>
      <c r="C68" s="35" t="n"/>
      <c r="D68" s="35" t="n"/>
      <c r="E68" s="35" t="n"/>
      <c r="F68" s="35" t="n"/>
      <c r="G68" s="35" t="n"/>
      <c r="H68" s="11" t="inlineStr">
        <is>
          <t>Monthly</t>
        </is>
      </c>
    </row>
    <row r="69">
      <c r="A69" s="13" t="n">
        <v>1</v>
      </c>
      <c r="B69" s="14" t="inlineStr">
        <is>
          <t>Security patches, dependency updates &amp; PLUR core upgrades</t>
        </is>
      </c>
      <c r="C69" s="23" t="n"/>
      <c r="D69" s="23" t="n"/>
      <c r="E69" s="23" t="n"/>
      <c r="F69" s="23" t="n"/>
      <c r="G69" s="23" t="n"/>
      <c r="H69" s="23" t="n"/>
    </row>
    <row r="70">
      <c r="A70" s="13" t="n">
        <v>2</v>
      </c>
      <c r="B70" s="14" t="inlineStr">
        <is>
          <t>Infrastructure monitoring, uptime SLA (99.5%), incident response</t>
        </is>
      </c>
      <c r="C70" s="23" t="n"/>
      <c r="D70" s="23" t="n"/>
      <c r="E70" s="23" t="n"/>
      <c r="F70" s="23" t="n"/>
      <c r="G70" s="23" t="n"/>
      <c r="H70" s="23" t="n"/>
    </row>
    <row r="71">
      <c r="A71" s="13" t="n">
        <v>3</v>
      </c>
      <c r="B71" s="14" t="inlineStr">
        <is>
          <t>Knowledge pipeline tuning (extraction quality, pack curation)</t>
        </is>
      </c>
      <c r="C71" s="23" t="n"/>
      <c r="D71" s="23" t="n"/>
      <c r="E71" s="23" t="n"/>
      <c r="F71" s="23" t="n"/>
      <c r="G71" s="23" t="n"/>
      <c r="H71" s="23" t="n"/>
    </row>
    <row r="72">
      <c r="A72" s="13" t="n">
        <v>4</v>
      </c>
      <c r="B72" s="14" t="inlineStr">
        <is>
          <t>New user onboarding (team growth, offboarding cleanup)</t>
        </is>
      </c>
      <c r="C72" s="23" t="n"/>
      <c r="D72" s="23" t="n"/>
      <c r="E72" s="23" t="n"/>
      <c r="F72" s="23" t="n"/>
      <c r="G72" s="23" t="n"/>
      <c r="H72" s="23" t="n"/>
    </row>
    <row r="73">
      <c r="A73" s="13" t="n">
        <v>5</v>
      </c>
      <c r="B73" s="14" t="inlineStr">
        <is>
          <t>Priority bug fixes (&lt; 24h response, &lt; 72h resolution)</t>
        </is>
      </c>
      <c r="C73" s="23" t="n"/>
      <c r="D73" s="23" t="n"/>
      <c r="E73" s="23" t="n"/>
      <c r="F73" s="23" t="n"/>
      <c r="G73" s="23" t="n"/>
      <c r="H73" s="23" t="n"/>
    </row>
    <row r="74">
      <c r="A74" s="13" t="n">
        <v>6</v>
      </c>
      <c r="B74" s="14" t="inlineStr">
        <is>
          <t>Platform evolution (new MCP clients, IDE support, model changes)</t>
        </is>
      </c>
      <c r="C74" s="23" t="n"/>
      <c r="D74" s="23" t="n"/>
      <c r="E74" s="23" t="n"/>
      <c r="F74" s="23" t="n"/>
      <c r="G74" s="23" t="n"/>
      <c r="H74" s="23" t="n"/>
    </row>
    <row r="75">
      <c r="A75" s="13" t="n">
        <v>7</v>
      </c>
      <c r="B75" s="14" t="inlineStr">
        <is>
          <t>AI compute (token budget for agents, extraction, orchestration)</t>
        </is>
      </c>
      <c r="C75" s="23" t="n"/>
      <c r="D75" s="23" t="n"/>
      <c r="E75" s="23" t="n"/>
      <c r="F75" s="23" t="n"/>
      <c r="G75" s="23" t="n"/>
      <c r="H75" s="23" t="n"/>
    </row>
    <row r="76">
      <c r="A76" s="13" t="n">
        <v>8</v>
      </c>
      <c r="B76" s="14" t="inlineStr">
        <is>
          <t>Quarterly review &amp; optimization session</t>
        </is>
      </c>
      <c r="C76" s="23" t="n"/>
      <c r="D76" s="23" t="n"/>
      <c r="E76" s="23" t="n"/>
      <c r="F76" s="23" t="n"/>
      <c r="G76" s="23" t="n"/>
      <c r="H76" s="23" t="n"/>
    </row>
    <row r="78">
      <c r="A78" s="37" t="n"/>
      <c r="B78" s="38" t="inlineStr">
        <is>
          <t>MONTHLY RETAINER (50 users)</t>
        </is>
      </c>
      <c r="C78" s="37" t="n"/>
      <c r="D78" s="37" t="n"/>
      <c r="E78" s="37" t="n"/>
      <c r="F78" s="37" t="n"/>
      <c r="G78" s="37" t="n"/>
      <c r="H78" s="39">
        <f>$C$6+$C$7</f>
        <v/>
      </c>
    </row>
    <row r="79">
      <c r="B79" s="40" t="inlineStr">
        <is>
          <t>Annual support cost</t>
        </is>
      </c>
      <c r="H79" s="41">
        <f>H78*12</f>
        <v/>
      </c>
    </row>
    <row r="80">
      <c r="B80" s="42" t="inlineStr">
        <is>
          <t>Support starts after Phase 1 delivery</t>
        </is>
      </c>
    </row>
    <row r="83">
      <c r="A83" s="9" t="inlineStr">
        <is>
          <t>FIRST-YEAR ENGAGEMENT SUMMARY</t>
        </is>
      </c>
    </row>
    <row r="84">
      <c r="A84" s="23" t="n"/>
      <c r="B84" s="14" t="inlineStr">
        <is>
          <t>Project delivery (Phases 1-3, design partner price)</t>
        </is>
      </c>
      <c r="C84" s="23" t="n"/>
      <c r="D84" s="23" t="n"/>
      <c r="E84" s="23" t="n"/>
      <c r="F84" s="23" t="n"/>
      <c r="G84" s="23" t="n"/>
      <c r="H84" s="18">
        <f>H64</f>
        <v/>
      </c>
    </row>
    <row r="85">
      <c r="A85" s="23" t="n"/>
      <c r="B85" s="14" t="inlineStr">
        <is>
          <t>Support &amp; maintenance (starts after Phase 1)</t>
        </is>
      </c>
      <c r="C85" s="23" t="n"/>
      <c r="D85" s="23" t="n"/>
      <c r="E85" s="23" t="n"/>
      <c r="F85" s="23" t="n"/>
      <c r="G85" s="23" t="n"/>
      <c r="H85" s="18">
        <f>H78*$C$9</f>
        <v/>
      </c>
    </row>
    <row r="86">
      <c r="A86" s="23" t="n"/>
      <c r="B86" s="14" t="inlineStr">
        <is>
          <t>Infrastructure (hosting, database — at cost)</t>
        </is>
      </c>
      <c r="C86" s="23" t="n"/>
      <c r="D86" s="23" t="n"/>
      <c r="E86" s="23" t="n"/>
      <c r="F86" s="23" t="n"/>
      <c r="G86" s="23" t="n"/>
      <c r="H86" s="18">
        <f>$C$8*$C$9</f>
        <v/>
      </c>
    </row>
    <row r="87">
      <c r="A87" s="32" t="n"/>
      <c r="B87" s="33" t="inlineStr">
        <is>
          <t>FIRST-YEAR TOTAL</t>
        </is>
      </c>
      <c r="C87" s="32" t="n"/>
      <c r="D87" s="32" t="n"/>
      <c r="E87" s="32" t="n"/>
      <c r="F87" s="32" t="n"/>
      <c r="G87" s="32" t="n"/>
      <c r="H87" s="34">
        <f>H84+H85+H86</f>
        <v/>
      </c>
    </row>
    <row r="90">
      <c r="A90" s="7" t="inlineStr">
        <is>
          <t>Payment Schedule</t>
        </is>
      </c>
    </row>
    <row r="91">
      <c r="A91" s="23" t="n"/>
      <c r="B91" s="14" t="inlineStr">
        <is>
          <t>Phase 1 — Shared Memory</t>
        </is>
      </c>
      <c r="C91" s="14" t="inlineStr">
        <is>
          <t>Months 1-2</t>
        </is>
      </c>
      <c r="D91" s="23" t="n"/>
      <c r="E91" s="23" t="n"/>
      <c r="F91" s="23" t="n"/>
      <c r="G91" s="43">
        <f>H31+H32</f>
        <v/>
      </c>
      <c r="H91" s="44">
        <f>G91*(1-$C$5)</f>
        <v/>
      </c>
    </row>
    <row r="92">
      <c r="A92" s="23" t="n"/>
      <c r="B92" s="14" t="inlineStr">
        <is>
          <t>Phase 2 — Knowledge Engineering</t>
        </is>
      </c>
      <c r="C92" s="14" t="inlineStr">
        <is>
          <t>Months 2-4</t>
        </is>
      </c>
      <c r="D92" s="23" t="n"/>
      <c r="E92" s="23" t="n"/>
      <c r="F92" s="23" t="n"/>
      <c r="G92" s="43">
        <f>H42+H43</f>
        <v/>
      </c>
      <c r="H92" s="44">
        <f>G92*(1-$C$5)</f>
        <v/>
      </c>
    </row>
    <row r="93">
      <c r="A93" s="23" t="n"/>
      <c r="B93" s="14" t="inlineStr">
        <is>
          <t>Phase 3 — AI Development Team</t>
        </is>
      </c>
      <c r="C93" s="14" t="inlineStr">
        <is>
          <t>Months 4-6</t>
        </is>
      </c>
      <c r="D93" s="23" t="n"/>
      <c r="E93" s="23" t="n"/>
      <c r="F93" s="23" t="n"/>
      <c r="G93" s="43">
        <f>H53+H54</f>
        <v/>
      </c>
      <c r="H93" s="44">
        <f>G93*(1-$C$5)</f>
        <v/>
      </c>
    </row>
    <row r="94">
      <c r="A94" s="23" t="n"/>
      <c r="B94" s="14" t="inlineStr">
        <is>
          <t>Add-on — GitHub Provider</t>
        </is>
      </c>
      <c r="C94" s="14" t="inlineStr">
        <is>
          <t>When needed</t>
        </is>
      </c>
      <c r="D94" s="23" t="n"/>
      <c r="E94" s="23" t="n"/>
      <c r="F94" s="23" t="n"/>
      <c r="G94" s="43">
        <f>H59+H60</f>
        <v/>
      </c>
      <c r="H94" s="44">
        <f>G94*(1-$C$5)</f>
        <v/>
      </c>
    </row>
    <row r="95">
      <c r="A95" s="23" t="n"/>
      <c r="B95" s="14" t="inlineStr">
        <is>
          <t>Monthly support (ongoing)</t>
        </is>
      </c>
      <c r="C95" s="14" t="inlineStr">
        <is>
          <t>From month 3</t>
        </is>
      </c>
      <c r="D95" s="23" t="n"/>
      <c r="E95" s="23" t="n"/>
      <c r="F95" s="23" t="n"/>
      <c r="G95" s="23" t="n"/>
      <c r="H95" s="45">
        <f>H78</f>
        <v/>
      </c>
    </row>
    <row r="97">
      <c r="A97" s="7" t="inlineStr">
        <is>
          <t>Team Utilization</t>
        </is>
      </c>
    </row>
    <row r="98">
      <c r="A98" s="23" t="n"/>
      <c r="B98" s="14" t="inlineStr">
        <is>
          <t>Gregor (Project Director, Lead Dev)</t>
        </is>
      </c>
      <c r="C98" s="23" t="n"/>
      <c r="D98" s="23" t="n"/>
      <c r="E98" s="23" t="n"/>
      <c r="F98" s="46">
        <f>C62/G62</f>
        <v/>
      </c>
      <c r="G98" s="47">
        <f>C62</f>
        <v/>
      </c>
      <c r="H98" s="44">
        <f>G98*$C$4</f>
        <v/>
      </c>
    </row>
    <row r="99">
      <c r="A99" s="23" t="n"/>
      <c r="B99" s="14" t="inlineStr">
        <is>
          <t>Tadej (CTO, Tech Lead)</t>
        </is>
      </c>
      <c r="C99" s="23" t="n"/>
      <c r="D99" s="23" t="n"/>
      <c r="E99" s="23" t="n"/>
      <c r="F99" s="46">
        <f>D62/G62</f>
        <v/>
      </c>
      <c r="G99" s="47">
        <f>D62</f>
        <v/>
      </c>
      <c r="H99" s="44">
        <f>G99*$C$4</f>
        <v/>
      </c>
    </row>
    <row r="100">
      <c r="A100" s="23" t="n"/>
      <c r="B100" s="14" t="inlineStr">
        <is>
          <t>Marko (DevOps)</t>
        </is>
      </c>
      <c r="C100" s="23" t="n"/>
      <c r="D100" s="23" t="n"/>
      <c r="E100" s="23" t="n"/>
      <c r="F100" s="46">
        <f>E62/G62</f>
        <v/>
      </c>
      <c r="G100" s="47">
        <f>E62</f>
        <v/>
      </c>
      <c r="H100" s="44">
        <f>G100*$C$4</f>
        <v/>
      </c>
    </row>
    <row r="101">
      <c r="A101" s="23" t="n"/>
      <c r="B101" s="14" t="inlineStr">
        <is>
          <t>Crt (PM, Data Scientist)</t>
        </is>
      </c>
      <c r="C101" s="23" t="n"/>
      <c r="D101" s="23" t="n"/>
      <c r="E101" s="23" t="n"/>
      <c r="F101" s="46">
        <f>F62/G62</f>
        <v/>
      </c>
      <c r="G101" s="47">
        <f>F62</f>
        <v/>
      </c>
      <c r="H101" s="44">
        <f>G101*$C$4</f>
        <v/>
      </c>
    </row>
    <row r="104">
      <c r="A104" s="7" t="inlineStr">
        <is>
          <t>Design Partner Benefits</t>
        </is>
      </c>
    </row>
    <row r="105">
      <c r="B105" s="8" t="inlineStr">
        <is>
          <t xml:space="preserve">  Influence on product roadmap — your requirements built first</t>
        </is>
      </c>
    </row>
    <row r="106">
      <c r="B106" s="8" t="inlineStr">
        <is>
          <t xml:space="preserve">  White-label &amp; reseller rights (future phase, pre-negotiated)</t>
        </is>
      </c>
    </row>
    <row r="107">
      <c r="B107" s="8" t="inlineStr">
        <is>
          <t xml:space="preserve">  Case study &amp; reference customer agreement</t>
        </is>
      </c>
    </row>
    <row r="108">
      <c r="B108" s="8" t="inlineStr">
        <is>
          <t xml:space="preserve">  Priority support with dedicated team</t>
        </is>
      </c>
    </row>
    <row r="109">
      <c r="B109" s="8" t="inlineStr">
        <is>
          <t xml:space="preserve">  Quarterly product review &amp; roadmap alignment sessions</t>
        </is>
      </c>
    </row>
    <row r="112">
      <c r="A112" s="7" t="inlineStr">
        <is>
          <t>Notes</t>
        </is>
      </c>
    </row>
    <row r="113">
      <c r="B113" s="42" t="inlineStr">
        <is>
          <t xml:space="preserve">  All prices exclude VAT.</t>
        </is>
      </c>
    </row>
    <row r="114">
      <c r="B114" s="42" t="inlineStr">
        <is>
          <t xml:space="preserve">  Project hours invoiced on actuals with weekly reporting.</t>
        </is>
      </c>
    </row>
    <row r="115">
      <c r="B115" s="42" t="inlineStr">
        <is>
          <t xml:space="preserve">  Design partner pricing valid for 12 months from contract start.</t>
        </is>
      </c>
    </row>
    <row r="116">
      <c r="B116" s="42" t="inlineStr">
        <is>
          <t xml:space="preserve">  Infrastructure costs (DO droplet, managed Postgres) billed at cost.</t>
        </is>
      </c>
    </row>
    <row r="117">
      <c r="B117" s="42" t="inlineStr">
        <is>
          <t xml:space="preserve">  Support retainer covers up to 50 users. Additional users: 30 EUR/user/month.</t>
        </is>
      </c>
    </row>
    <row r="118">
      <c r="B118" s="42" t="inlineStr">
        <is>
          <t xml:space="preserve">  We use Claude Code and AI-assisted development extensively — this is how we deliver fast.</t>
        </is>
      </c>
    </row>
    <row r="119">
      <c r="B119" s="42" t="inlineStr">
        <is>
          <t xml:space="preserve">  Yellow cells are adjustable — all totals recalculate automatically.</t>
        </is>
      </c>
    </row>
  </sheetData>
  <mergeCells count="30">
    <mergeCell ref="A67:H67"/>
    <mergeCell ref="A83:H83"/>
    <mergeCell ref="B118:H118"/>
    <mergeCell ref="C91:F91"/>
    <mergeCell ref="A11:H11"/>
    <mergeCell ref="A45:H45"/>
    <mergeCell ref="A1:H1"/>
    <mergeCell ref="C12:H12"/>
    <mergeCell ref="B114:H114"/>
    <mergeCell ref="B113:H113"/>
    <mergeCell ref="C92:F92"/>
    <mergeCell ref="A90:H90"/>
    <mergeCell ref="A56:H56"/>
    <mergeCell ref="B115:H115"/>
    <mergeCell ref="A3:H3"/>
    <mergeCell ref="C13:H13"/>
    <mergeCell ref="A104:H104"/>
    <mergeCell ref="B117:H117"/>
    <mergeCell ref="C94:F94"/>
    <mergeCell ref="C93:F93"/>
    <mergeCell ref="A97:H97"/>
    <mergeCell ref="A17:H17"/>
    <mergeCell ref="C15:H15"/>
    <mergeCell ref="B119:H119"/>
    <mergeCell ref="C14:H14"/>
    <mergeCell ref="A112:H112"/>
    <mergeCell ref="A19:H19"/>
    <mergeCell ref="B116:H116"/>
    <mergeCell ref="C95:F9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2026-04-23T11:45:49Z</dcterms:created>
  <dcterms:modified xmlns:dcterms="http://purl.org/dc/terms/" xmlns:xsi="http://www.w3.org/2001/XMLSchema-instance" xsi:type="dcterms:W3CDTF">2026-04-23T11:45:49Z</dcterms:modified>
</cp:coreProperties>
</file>